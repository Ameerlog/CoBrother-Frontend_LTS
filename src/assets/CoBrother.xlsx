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sh/Downloads/"/>
    </mc:Choice>
  </mc:AlternateContent>
  <xr:revisionPtr revIDLastSave="0" documentId="13_ncr:1_{A1684923-DF47-9840-8C11-686BA87544C6}" xr6:coauthVersionLast="47" xr6:coauthVersionMax="47" xr10:uidLastSave="{00000000-0000-0000-0000-000000000000}"/>
  <bookViews>
    <workbookView xWindow="0" yWindow="0" windowWidth="33600" windowHeight="21000" xr2:uid="{E7D5ECB5-40F9-4C46-99CC-673709A8F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2" i="1" l="1"/>
  <c r="AM52" i="1"/>
  <c r="AJ52" i="1"/>
  <c r="AG52" i="1"/>
  <c r="AD52" i="1"/>
  <c r="AA52" i="1"/>
  <c r="X52" i="1"/>
  <c r="U52" i="1"/>
  <c r="R52" i="1"/>
  <c r="O52" i="1"/>
  <c r="L52" i="1"/>
  <c r="AP49" i="1"/>
  <c r="AO49" i="1"/>
  <c r="AM49" i="1"/>
  <c r="AL49" i="1"/>
  <c r="AJ49" i="1"/>
  <c r="AI49" i="1"/>
  <c r="AG49" i="1"/>
  <c r="AF49" i="1"/>
  <c r="AD49" i="1"/>
  <c r="AC49" i="1"/>
  <c r="AA49" i="1"/>
  <c r="Z49" i="1"/>
  <c r="X49" i="1"/>
  <c r="W49" i="1"/>
  <c r="U49" i="1"/>
  <c r="T49" i="1"/>
  <c r="R49" i="1"/>
  <c r="Q49" i="1"/>
  <c r="O49" i="1"/>
  <c r="N49" i="1"/>
  <c r="L49" i="1"/>
  <c r="K49" i="1"/>
  <c r="AP26" i="1"/>
  <c r="AM26" i="1"/>
  <c r="AJ26" i="1"/>
  <c r="AG26" i="1"/>
  <c r="AD26" i="1"/>
  <c r="AA26" i="1"/>
  <c r="X26" i="1"/>
  <c r="U26" i="1"/>
  <c r="R26" i="1"/>
  <c r="AO26" i="1"/>
  <c r="AL26" i="1"/>
  <c r="AI26" i="1"/>
  <c r="AF26" i="1"/>
  <c r="AC26" i="1"/>
  <c r="Z26" i="1"/>
  <c r="W26" i="1"/>
  <c r="T26" i="1"/>
  <c r="Q26" i="1"/>
  <c r="T25" i="1"/>
  <c r="AO25" i="1"/>
  <c r="AL25" i="1"/>
  <c r="AI25" i="1"/>
  <c r="AF25" i="1"/>
  <c r="AC25" i="1"/>
  <c r="Z25" i="1"/>
  <c r="W25" i="1"/>
  <c r="Q25" i="1"/>
  <c r="AP22" i="1"/>
  <c r="AM22" i="1"/>
  <c r="AJ22" i="1"/>
  <c r="AG22" i="1"/>
  <c r="AD22" i="1"/>
  <c r="AA22" i="1"/>
  <c r="X22" i="1"/>
  <c r="U22" i="1"/>
  <c r="R22" i="1"/>
  <c r="AP21" i="1"/>
  <c r="AM21" i="1"/>
  <c r="AJ21" i="1"/>
  <c r="AG21" i="1"/>
  <c r="AD21" i="1"/>
  <c r="AA21" i="1"/>
  <c r="X21" i="1"/>
  <c r="U21" i="1"/>
  <c r="R21" i="1"/>
  <c r="T22" i="1"/>
  <c r="Q22" i="1"/>
  <c r="N22" i="1"/>
  <c r="W22" i="1"/>
  <c r="Z22" i="1"/>
  <c r="AC22" i="1"/>
  <c r="AF22" i="1"/>
  <c r="AI22" i="1"/>
  <c r="AL22" i="1"/>
  <c r="AO22" i="1"/>
  <c r="AO21" i="1"/>
  <c r="AL21" i="1"/>
  <c r="AI21" i="1"/>
  <c r="AF21" i="1"/>
  <c r="AC21" i="1"/>
  <c r="Z21" i="1"/>
  <c r="W21" i="1"/>
  <c r="T21" i="1"/>
  <c r="R25" i="1"/>
  <c r="O22" i="1"/>
  <c r="Q21" i="1"/>
  <c r="O26" i="1"/>
  <c r="O25" i="1"/>
  <c r="O21" i="1"/>
  <c r="N26" i="1"/>
  <c r="N25" i="1"/>
  <c r="N21" i="1"/>
  <c r="AP45" i="1"/>
  <c r="AO45" i="1"/>
  <c r="AP44" i="1"/>
  <c r="AO44" i="1"/>
  <c r="AP43" i="1"/>
  <c r="AO43" i="1"/>
  <c r="AP41" i="1"/>
  <c r="AO41" i="1"/>
  <c r="AP40" i="1"/>
  <c r="AO40" i="1"/>
  <c r="AP39" i="1"/>
  <c r="AO39" i="1"/>
  <c r="AP38" i="1"/>
  <c r="AO38" i="1"/>
  <c r="AP36" i="1"/>
  <c r="AO36" i="1"/>
  <c r="AP35" i="1"/>
  <c r="AO35" i="1"/>
  <c r="AP34" i="1"/>
  <c r="AO34" i="1"/>
  <c r="AP33" i="1"/>
  <c r="AO33" i="1"/>
  <c r="AP31" i="1"/>
  <c r="AO31" i="1"/>
  <c r="AP30" i="1"/>
  <c r="AO30" i="1"/>
  <c r="AP29" i="1"/>
  <c r="AO29" i="1"/>
  <c r="AP25" i="1"/>
  <c r="AP17" i="1"/>
  <c r="AO17" i="1"/>
  <c r="AP16" i="1"/>
  <c r="AO16" i="1"/>
  <c r="AP14" i="1"/>
  <c r="AO14" i="1"/>
  <c r="AP13" i="1"/>
  <c r="AO13" i="1"/>
  <c r="AP10" i="1"/>
  <c r="AO10" i="1"/>
  <c r="AP9" i="1"/>
  <c r="AO9" i="1"/>
  <c r="AP7" i="1"/>
  <c r="AP6" i="1"/>
  <c r="AP5" i="1"/>
  <c r="AP4" i="1"/>
  <c r="AP47" i="1" s="1"/>
  <c r="AM45" i="1"/>
  <c r="AL45" i="1"/>
  <c r="AM44" i="1"/>
  <c r="AL44" i="1"/>
  <c r="AM43" i="1"/>
  <c r="AL43" i="1"/>
  <c r="AM41" i="1"/>
  <c r="AL41" i="1"/>
  <c r="AM40" i="1"/>
  <c r="AL40" i="1"/>
  <c r="AM39" i="1"/>
  <c r="AL39" i="1"/>
  <c r="AM38" i="1"/>
  <c r="AL38" i="1"/>
  <c r="AM36" i="1"/>
  <c r="AL36" i="1"/>
  <c r="AM35" i="1"/>
  <c r="AL35" i="1"/>
  <c r="AM34" i="1"/>
  <c r="AL34" i="1"/>
  <c r="AM33" i="1"/>
  <c r="AL33" i="1"/>
  <c r="AM31" i="1"/>
  <c r="AL31" i="1"/>
  <c r="AM30" i="1"/>
  <c r="AL30" i="1"/>
  <c r="AM29" i="1"/>
  <c r="AL29" i="1"/>
  <c r="AM25" i="1"/>
  <c r="AM17" i="1"/>
  <c r="AL17" i="1"/>
  <c r="AM16" i="1"/>
  <c r="AL16" i="1"/>
  <c r="AM14" i="1"/>
  <c r="AL14" i="1"/>
  <c r="AM13" i="1"/>
  <c r="AL13" i="1"/>
  <c r="AM10" i="1"/>
  <c r="AL10" i="1"/>
  <c r="AM9" i="1"/>
  <c r="AL9" i="1"/>
  <c r="AL47" i="1" s="1"/>
  <c r="AM7" i="1"/>
  <c r="AM6" i="1"/>
  <c r="AM5" i="1"/>
  <c r="AM4" i="1"/>
  <c r="AM47" i="1" s="1"/>
  <c r="AJ45" i="1"/>
  <c r="AI45" i="1"/>
  <c r="AJ44" i="1"/>
  <c r="AI44" i="1"/>
  <c r="AJ43" i="1"/>
  <c r="AI43" i="1"/>
  <c r="AJ41" i="1"/>
  <c r="AI41" i="1"/>
  <c r="AJ40" i="1"/>
  <c r="AI40" i="1"/>
  <c r="AJ39" i="1"/>
  <c r="AI39" i="1"/>
  <c r="AJ38" i="1"/>
  <c r="AI38" i="1"/>
  <c r="AJ36" i="1"/>
  <c r="AI36" i="1"/>
  <c r="AJ35" i="1"/>
  <c r="AI35" i="1"/>
  <c r="AJ34" i="1"/>
  <c r="AI34" i="1"/>
  <c r="AJ33" i="1"/>
  <c r="AI33" i="1"/>
  <c r="AJ31" i="1"/>
  <c r="AI31" i="1"/>
  <c r="AJ30" i="1"/>
  <c r="AI30" i="1"/>
  <c r="AJ29" i="1"/>
  <c r="AI29" i="1"/>
  <c r="AJ25" i="1"/>
  <c r="AJ17" i="1"/>
  <c r="AI17" i="1"/>
  <c r="AJ16" i="1"/>
  <c r="AI16" i="1"/>
  <c r="AJ14" i="1"/>
  <c r="AI14" i="1"/>
  <c r="AJ13" i="1"/>
  <c r="AI13" i="1"/>
  <c r="AJ10" i="1"/>
  <c r="AI10" i="1"/>
  <c r="AJ9" i="1"/>
  <c r="AI9" i="1"/>
  <c r="AI47" i="1" s="1"/>
  <c r="AJ7" i="1"/>
  <c r="AJ6" i="1"/>
  <c r="AJ5" i="1"/>
  <c r="AJ4" i="1"/>
  <c r="AJ47" i="1" s="1"/>
  <c r="AG45" i="1"/>
  <c r="AF45" i="1"/>
  <c r="AG44" i="1"/>
  <c r="AF44" i="1"/>
  <c r="AG43" i="1"/>
  <c r="AF43" i="1"/>
  <c r="AG41" i="1"/>
  <c r="AF41" i="1"/>
  <c r="AG40" i="1"/>
  <c r="AF40" i="1"/>
  <c r="AG39" i="1"/>
  <c r="AF39" i="1"/>
  <c r="AG38" i="1"/>
  <c r="AF38" i="1"/>
  <c r="AG36" i="1"/>
  <c r="AF36" i="1"/>
  <c r="AG35" i="1"/>
  <c r="AF35" i="1"/>
  <c r="AG34" i="1"/>
  <c r="AF34" i="1"/>
  <c r="AG33" i="1"/>
  <c r="AF33" i="1"/>
  <c r="AG31" i="1"/>
  <c r="AF31" i="1"/>
  <c r="AG30" i="1"/>
  <c r="AF30" i="1"/>
  <c r="AG29" i="1"/>
  <c r="AF29" i="1"/>
  <c r="AG25" i="1"/>
  <c r="AG17" i="1"/>
  <c r="AF17" i="1"/>
  <c r="AG16" i="1"/>
  <c r="AF16" i="1"/>
  <c r="AG14" i="1"/>
  <c r="AF14" i="1"/>
  <c r="AG13" i="1"/>
  <c r="AF13" i="1"/>
  <c r="AG10" i="1"/>
  <c r="AF10" i="1"/>
  <c r="AG9" i="1"/>
  <c r="AF9" i="1"/>
  <c r="AF47" i="1" s="1"/>
  <c r="AG7" i="1"/>
  <c r="AG6" i="1"/>
  <c r="AG5" i="1"/>
  <c r="AG4" i="1"/>
  <c r="AG47" i="1" s="1"/>
  <c r="AD45" i="1"/>
  <c r="AC45" i="1"/>
  <c r="AD44" i="1"/>
  <c r="AC44" i="1"/>
  <c r="AD43" i="1"/>
  <c r="AC43" i="1"/>
  <c r="AD41" i="1"/>
  <c r="AC41" i="1"/>
  <c r="AD40" i="1"/>
  <c r="AC40" i="1"/>
  <c r="AD39" i="1"/>
  <c r="AC39" i="1"/>
  <c r="AD38" i="1"/>
  <c r="AC38" i="1"/>
  <c r="AD36" i="1"/>
  <c r="AC36" i="1"/>
  <c r="AD35" i="1"/>
  <c r="AC35" i="1"/>
  <c r="AD34" i="1"/>
  <c r="AC34" i="1"/>
  <c r="AD33" i="1"/>
  <c r="AC33" i="1"/>
  <c r="AD31" i="1"/>
  <c r="AC31" i="1"/>
  <c r="AD30" i="1"/>
  <c r="AC30" i="1"/>
  <c r="AD29" i="1"/>
  <c r="AC29" i="1"/>
  <c r="AD25" i="1"/>
  <c r="AD17" i="1"/>
  <c r="AC17" i="1"/>
  <c r="AD16" i="1"/>
  <c r="AC16" i="1"/>
  <c r="AD14" i="1"/>
  <c r="AC14" i="1"/>
  <c r="AD13" i="1"/>
  <c r="AC13" i="1"/>
  <c r="AD10" i="1"/>
  <c r="AC10" i="1"/>
  <c r="AD9" i="1"/>
  <c r="AC9" i="1"/>
  <c r="AC47" i="1" s="1"/>
  <c r="AD7" i="1"/>
  <c r="AD6" i="1"/>
  <c r="AD5" i="1"/>
  <c r="AD4" i="1"/>
  <c r="AD47" i="1" s="1"/>
  <c r="AA45" i="1"/>
  <c r="Z45" i="1"/>
  <c r="AA44" i="1"/>
  <c r="Z44" i="1"/>
  <c r="AA43" i="1"/>
  <c r="Z43" i="1"/>
  <c r="AA41" i="1"/>
  <c r="Z41" i="1"/>
  <c r="AA40" i="1"/>
  <c r="Z40" i="1"/>
  <c r="AA39" i="1"/>
  <c r="Z39" i="1"/>
  <c r="AA38" i="1"/>
  <c r="Z38" i="1"/>
  <c r="AA36" i="1"/>
  <c r="Z36" i="1"/>
  <c r="AA35" i="1"/>
  <c r="Z35" i="1"/>
  <c r="AA34" i="1"/>
  <c r="Z34" i="1"/>
  <c r="AA33" i="1"/>
  <c r="Z33" i="1"/>
  <c r="AA31" i="1"/>
  <c r="Z31" i="1"/>
  <c r="AA30" i="1"/>
  <c r="Z30" i="1"/>
  <c r="AA29" i="1"/>
  <c r="Z29" i="1"/>
  <c r="AA25" i="1"/>
  <c r="AA17" i="1"/>
  <c r="Z17" i="1"/>
  <c r="AA16" i="1"/>
  <c r="Z16" i="1"/>
  <c r="AA14" i="1"/>
  <c r="Z14" i="1"/>
  <c r="AA13" i="1"/>
  <c r="Z13" i="1"/>
  <c r="AA10" i="1"/>
  <c r="Z10" i="1"/>
  <c r="Z47" i="1" s="1"/>
  <c r="AA9" i="1"/>
  <c r="Z9" i="1"/>
  <c r="AA7" i="1"/>
  <c r="AA6" i="1"/>
  <c r="AA5" i="1"/>
  <c r="AA4" i="1"/>
  <c r="AA47" i="1" s="1"/>
  <c r="X45" i="1"/>
  <c r="W45" i="1"/>
  <c r="X44" i="1"/>
  <c r="W44" i="1"/>
  <c r="X43" i="1"/>
  <c r="W43" i="1"/>
  <c r="X41" i="1"/>
  <c r="W41" i="1"/>
  <c r="X40" i="1"/>
  <c r="W40" i="1"/>
  <c r="X39" i="1"/>
  <c r="W39" i="1"/>
  <c r="X38" i="1"/>
  <c r="W38" i="1"/>
  <c r="X36" i="1"/>
  <c r="W36" i="1"/>
  <c r="X35" i="1"/>
  <c r="W35" i="1"/>
  <c r="X34" i="1"/>
  <c r="W34" i="1"/>
  <c r="X33" i="1"/>
  <c r="W33" i="1"/>
  <c r="X31" i="1"/>
  <c r="W31" i="1"/>
  <c r="X30" i="1"/>
  <c r="W30" i="1"/>
  <c r="X29" i="1"/>
  <c r="W29" i="1"/>
  <c r="X25" i="1"/>
  <c r="X17" i="1"/>
  <c r="W17" i="1"/>
  <c r="X16" i="1"/>
  <c r="W16" i="1"/>
  <c r="X14" i="1"/>
  <c r="W14" i="1"/>
  <c r="X13" i="1"/>
  <c r="W13" i="1"/>
  <c r="X10" i="1"/>
  <c r="W10" i="1"/>
  <c r="X9" i="1"/>
  <c r="W9" i="1"/>
  <c r="W47" i="1" s="1"/>
  <c r="X7" i="1"/>
  <c r="X6" i="1"/>
  <c r="X5" i="1"/>
  <c r="X4" i="1"/>
  <c r="X47" i="1" s="1"/>
  <c r="U45" i="1"/>
  <c r="T45" i="1"/>
  <c r="U44" i="1"/>
  <c r="T44" i="1"/>
  <c r="U43" i="1"/>
  <c r="T43" i="1"/>
  <c r="U41" i="1"/>
  <c r="T41" i="1"/>
  <c r="U40" i="1"/>
  <c r="T40" i="1"/>
  <c r="U39" i="1"/>
  <c r="T39" i="1"/>
  <c r="U38" i="1"/>
  <c r="T38" i="1"/>
  <c r="U36" i="1"/>
  <c r="T36" i="1"/>
  <c r="U35" i="1"/>
  <c r="T35" i="1"/>
  <c r="U34" i="1"/>
  <c r="T34" i="1"/>
  <c r="U33" i="1"/>
  <c r="T33" i="1"/>
  <c r="U31" i="1"/>
  <c r="T31" i="1"/>
  <c r="U30" i="1"/>
  <c r="T30" i="1"/>
  <c r="U29" i="1"/>
  <c r="T29" i="1"/>
  <c r="U25" i="1"/>
  <c r="U17" i="1"/>
  <c r="T17" i="1"/>
  <c r="U16" i="1"/>
  <c r="T16" i="1"/>
  <c r="U14" i="1"/>
  <c r="T14" i="1"/>
  <c r="U13" i="1"/>
  <c r="T13" i="1"/>
  <c r="U10" i="1"/>
  <c r="T10" i="1"/>
  <c r="U9" i="1"/>
  <c r="T9" i="1"/>
  <c r="T47" i="1" s="1"/>
  <c r="U7" i="1"/>
  <c r="U6" i="1"/>
  <c r="U5" i="1"/>
  <c r="U4" i="1"/>
  <c r="U47" i="1" s="1"/>
  <c r="R45" i="1"/>
  <c r="Q45" i="1"/>
  <c r="R44" i="1"/>
  <c r="Q44" i="1"/>
  <c r="R43" i="1"/>
  <c r="Q43" i="1"/>
  <c r="R41" i="1"/>
  <c r="Q41" i="1"/>
  <c r="R40" i="1"/>
  <c r="Q40" i="1"/>
  <c r="R39" i="1"/>
  <c r="Q39" i="1"/>
  <c r="R38" i="1"/>
  <c r="Q38" i="1"/>
  <c r="R36" i="1"/>
  <c r="Q36" i="1"/>
  <c r="R35" i="1"/>
  <c r="Q35" i="1"/>
  <c r="R34" i="1"/>
  <c r="Q34" i="1"/>
  <c r="R33" i="1"/>
  <c r="Q33" i="1"/>
  <c r="R31" i="1"/>
  <c r="Q31" i="1"/>
  <c r="R30" i="1"/>
  <c r="Q30" i="1"/>
  <c r="R29" i="1"/>
  <c r="Q29" i="1"/>
  <c r="R17" i="1"/>
  <c r="Q17" i="1"/>
  <c r="R16" i="1"/>
  <c r="Q16" i="1"/>
  <c r="R14" i="1"/>
  <c r="Q14" i="1"/>
  <c r="R13" i="1"/>
  <c r="Q13" i="1"/>
  <c r="R10" i="1"/>
  <c r="Q10" i="1"/>
  <c r="R9" i="1"/>
  <c r="Q9" i="1"/>
  <c r="Q47" i="1" s="1"/>
  <c r="R7" i="1"/>
  <c r="R6" i="1"/>
  <c r="R5" i="1"/>
  <c r="R4" i="1"/>
  <c r="R47" i="1" s="1"/>
  <c r="O45" i="1"/>
  <c r="N45" i="1"/>
  <c r="O44" i="1"/>
  <c r="N44" i="1"/>
  <c r="O43" i="1"/>
  <c r="N43" i="1"/>
  <c r="O41" i="1"/>
  <c r="N41" i="1"/>
  <c r="O40" i="1"/>
  <c r="N40" i="1"/>
  <c r="O39" i="1"/>
  <c r="N39" i="1"/>
  <c r="O38" i="1"/>
  <c r="N38" i="1"/>
  <c r="O36" i="1"/>
  <c r="N36" i="1"/>
  <c r="O35" i="1"/>
  <c r="N35" i="1"/>
  <c r="O34" i="1"/>
  <c r="N34" i="1"/>
  <c r="O33" i="1"/>
  <c r="N33" i="1"/>
  <c r="O31" i="1"/>
  <c r="N31" i="1"/>
  <c r="O30" i="1"/>
  <c r="N30" i="1"/>
  <c r="O29" i="1"/>
  <c r="N29" i="1"/>
  <c r="O17" i="1"/>
  <c r="N17" i="1"/>
  <c r="O16" i="1"/>
  <c r="N16" i="1"/>
  <c r="O14" i="1"/>
  <c r="N14" i="1"/>
  <c r="O13" i="1"/>
  <c r="N13" i="1"/>
  <c r="O10" i="1"/>
  <c r="N10" i="1"/>
  <c r="O9" i="1"/>
  <c r="N9" i="1"/>
  <c r="N47" i="1" s="1"/>
  <c r="O7" i="1"/>
  <c r="O6" i="1"/>
  <c r="O5" i="1"/>
  <c r="O4" i="1"/>
  <c r="O47" i="1" s="1"/>
  <c r="L43" i="1"/>
  <c r="L44" i="1"/>
  <c r="L45" i="1"/>
  <c r="K45" i="1"/>
  <c r="K44" i="1"/>
  <c r="K43" i="1"/>
  <c r="K41" i="1"/>
  <c r="K40" i="1"/>
  <c r="K39" i="1"/>
  <c r="K38" i="1"/>
  <c r="K36" i="1"/>
  <c r="K35" i="1"/>
  <c r="K34" i="1"/>
  <c r="K33" i="1"/>
  <c r="L41" i="1"/>
  <c r="L40" i="1"/>
  <c r="L39" i="1"/>
  <c r="L38" i="1"/>
  <c r="L36" i="1"/>
  <c r="L35" i="1"/>
  <c r="L34" i="1"/>
  <c r="L33" i="1"/>
  <c r="L31" i="1"/>
  <c r="L30" i="1"/>
  <c r="L29" i="1"/>
  <c r="K31" i="1"/>
  <c r="K30" i="1"/>
  <c r="K47" i="1" s="1"/>
  <c r="K29" i="1"/>
  <c r="K25" i="1"/>
  <c r="K26" i="1"/>
  <c r="L26" i="1"/>
  <c r="L25" i="1"/>
  <c r="L22" i="1"/>
  <c r="K22" i="1"/>
  <c r="K21" i="1"/>
  <c r="L21" i="1"/>
  <c r="L47" i="1" s="1"/>
  <c r="K16" i="1"/>
  <c r="K17" i="1"/>
  <c r="L17" i="1"/>
  <c r="L16" i="1"/>
  <c r="K13" i="1"/>
  <c r="K14" i="1"/>
  <c r="L14" i="1"/>
  <c r="L13" i="1"/>
  <c r="L10" i="1"/>
  <c r="L9" i="1"/>
  <c r="K10" i="1"/>
  <c r="K9" i="1"/>
  <c r="L7" i="1"/>
  <c r="L6" i="1"/>
  <c r="L5" i="1"/>
  <c r="L4" i="1"/>
  <c r="AN47" i="1"/>
  <c r="AK47" i="1"/>
  <c r="AH47" i="1"/>
  <c r="AE47" i="1"/>
  <c r="AB47" i="1"/>
  <c r="Y47" i="1"/>
  <c r="V47" i="1"/>
  <c r="S47" i="1"/>
  <c r="P47" i="1"/>
  <c r="M47" i="1"/>
  <c r="J47" i="1"/>
  <c r="AO47" i="1" l="1"/>
</calcChain>
</file>

<file path=xl/sharedStrings.xml><?xml version="1.0" encoding="utf-8"?>
<sst xmlns="http://schemas.openxmlformats.org/spreadsheetml/2006/main" count="110" uniqueCount="71">
  <si>
    <t>Products</t>
  </si>
  <si>
    <t>Google My Business (GMB) Management</t>
  </si>
  <si>
    <t>GMB Profile Setup &amp; Verification</t>
  </si>
  <si>
    <t>Citation Cleanup &amp; Optimization</t>
  </si>
  <si>
    <t>Basic Monthly Management (Starter)</t>
  </si>
  <si>
    <t>Advanced Monthly Management (Platinum)</t>
  </si>
  <si>
    <t>One Time</t>
  </si>
  <si>
    <t>Monthly</t>
  </si>
  <si>
    <t>Comments</t>
  </si>
  <si>
    <t>Multi-location, advanced SEO</t>
  </si>
  <si>
    <t>8 posts, basic tracking</t>
  </si>
  <si>
    <t>One-time audit</t>
  </si>
  <si>
    <t>One-time setup</t>
  </si>
  <si>
    <t>WhatsApp-Based Accounting</t>
  </si>
  <si>
    <t>Retail, Hardware, Offline-heavy</t>
  </si>
  <si>
    <t>FMCG, Agencies, iOS environments</t>
  </si>
  <si>
    <t>Micro enterprises</t>
  </si>
  <si>
    <t>TallyPrime</t>
  </si>
  <si>
    <t>Silver</t>
  </si>
  <si>
    <t>Gold</t>
  </si>
  <si>
    <t>Installation, basic configuration, initial training</t>
  </si>
  <si>
    <t>Network setup, multi-node sync, advanced workflow training</t>
  </si>
  <si>
    <t>Upto 5 Users</t>
  </si>
  <si>
    <t>Upto 15 Users</t>
  </si>
  <si>
    <t>Additional Users</t>
  </si>
  <si>
    <t>WhatsApp based CRM (Evolution API / WBA)</t>
  </si>
  <si>
    <t>ERPNext Implementation</t>
  </si>
  <si>
    <t>Customisation</t>
  </si>
  <si>
    <t>Vanila without Manufacturiing</t>
  </si>
  <si>
    <t>Vanila with Manufacturiing</t>
  </si>
  <si>
    <t>Website and E-commerce Development</t>
  </si>
  <si>
    <t>Basic Informational Website (5-10 Pages)</t>
  </si>
  <si>
    <t>Standard E-commerce Platform (Shopify/WooCommerce)</t>
  </si>
  <si>
    <t>Custom Web Application / Advanced Portal</t>
  </si>
  <si>
    <t>Social Media, Content, and Reels</t>
  </si>
  <si>
    <t>Basic Social Media Package (8-12 static posts, minimal engagement)</t>
  </si>
  <si>
    <t>Standard Growth Package (12-20 posts, 4-8 Reels, strategic planning)</t>
  </si>
  <si>
    <t>Advanced Brand Package (High-volume Reels, professional video, omni-channel)</t>
  </si>
  <si>
    <t>Influencer Campaign Management</t>
  </si>
  <si>
    <t>LinkedIn Personal Branding</t>
  </si>
  <si>
    <t>Executive Profile Makeover &amp; Optimization (One-time)</t>
  </si>
  <si>
    <t>Essential LinkedIn Management (Content creation, basic engagement)</t>
  </si>
  <si>
    <t>Executive Positioning (Content, proactive networking, PR integration)</t>
  </si>
  <si>
    <t>Comprehensive Multi-Platform Personal Branding (LinkedIn, Twitter, Video, PR)</t>
  </si>
  <si>
    <t>Virtual Assistants (VAs) for E-commerce</t>
  </si>
  <si>
    <t>Entry-Level E-commerce VA (Data entry, basic order processing, email support)</t>
  </si>
  <si>
    <t>Mid-Level VA (Inventory reconciliation, catalog optimization, basic analytics)</t>
  </si>
  <si>
    <t>Expert E-commerce Manager (Amazon FBA management, ad optimization, strategic growth)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</si>
  <si>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</si>
  <si>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</si>
  <si>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</si>
  <si>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</si>
  <si>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</si>
  <si>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</si>
  <si>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</si>
  <si>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</si>
  <si>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</si>
  <si>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</si>
  <si>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</si>
  <si>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No of Sales</t>
  </si>
  <si>
    <t>Software Ravenue</t>
  </si>
  <si>
    <t>CoBrother Fees</t>
  </si>
  <si>
    <t>Per Month</t>
  </si>
  <si>
    <t>Upto 3 Users</t>
  </si>
  <si>
    <t>Upto 10 Users</t>
  </si>
  <si>
    <t>Duration for One Time
(In Months)</t>
  </si>
  <si>
    <t>Software Amount</t>
  </si>
  <si>
    <t>Sales Commission</t>
  </si>
  <si>
    <t>Total Income</t>
  </si>
  <si>
    <t>Sub Total</t>
  </si>
  <si>
    <t>CoBrother Commission from Riders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</si>
</sst>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 indent="4"/>
    </xf>
    <xf numFmtId="0" fontId="0" fillId="0" borderId="4" xfId="0" applyBorder="1" applyAlignment="1">
      <alignment horizontal="left" indent="8"/>
    </xf>
    <xf numFmtId="0" fontId="0" fillId="0" borderId="6" xfId="0" applyBorder="1" applyAlignment="1">
      <alignment horizontal="left" indent="4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0" xfId="0" applyBorder="1"/>
    <xf numFmtId="0" fontId="1" fillId="0" borderId="4" xfId="0" applyFont="1" applyBorder="1" applyAlignment="1">
      <alignment horizontal="left" wrapText="1"/>
    </xf>
    <xf numFmtId="0" fontId="0" fillId="0" borderId="0" xfId="0" applyFill="1" applyBorder="1"/>
    <xf numFmtId="0" fontId="1" fillId="0" borderId="12" xfId="0" applyFont="1" applyBorder="1" applyAlignment="1">
      <alignment horizontal="center"/>
    </xf>
    <xf numFmtId="165" fontId="1" fillId="0" borderId="12" xfId="1" applyNumberFormat="1" applyFont="1" applyBorder="1" applyAlignment="1">
      <alignment horizontal="center"/>
    </xf>
    <xf numFmtId="165" fontId="1" fillId="0" borderId="6" xfId="1" applyNumberFormat="1" applyFont="1" applyBorder="1"/>
    <xf numFmtId="165" fontId="1" fillId="0" borderId="7" xfId="1" applyNumberFormat="1" applyFont="1" applyBorder="1"/>
    <xf numFmtId="165" fontId="1" fillId="0" borderId="8" xfId="1" applyNumberFormat="1" applyFont="1" applyBorder="1"/>
    <xf numFmtId="165" fontId="0" fillId="0" borderId="4" xfId="1" applyNumberFormat="1" applyFont="1" applyBorder="1"/>
    <xf numFmtId="165" fontId="0" fillId="0" borderId="0" xfId="1" applyNumberFormat="1" applyFont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1" fillId="0" borderId="9" xfId="1" applyNumberFormat="1" applyFont="1" applyBorder="1" applyAlignment="1">
      <alignment horizontal="center"/>
    </xf>
    <xf numFmtId="165" fontId="1" fillId="0" borderId="10" xfId="1" applyNumberFormat="1" applyFont="1" applyBorder="1" applyAlignment="1">
      <alignment horizontal="center"/>
    </xf>
    <xf numFmtId="165" fontId="1" fillId="0" borderId="11" xfId="1" applyNumberFormat="1" applyFont="1" applyBorder="1" applyAlignment="1">
      <alignment horizontal="center"/>
    </xf>
    <xf numFmtId="165" fontId="1" fillId="0" borderId="6" xfId="1" applyNumberFormat="1" applyFont="1" applyBorder="1" applyAlignment="1">
      <alignment horizontal="center"/>
    </xf>
    <xf numFmtId="165" fontId="1" fillId="0" borderId="8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5" xfId="1" applyNumberFormat="1" applyFont="1" applyBorder="1" applyAlignment="1">
      <alignment horizontal="right"/>
    </xf>
    <xf numFmtId="165" fontId="0" fillId="0" borderId="0" xfId="1" applyNumberFormat="1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165" fontId="1" fillId="0" borderId="2" xfId="1" applyNumberFormat="1" applyFont="1" applyBorder="1"/>
    <xf numFmtId="165" fontId="1" fillId="0" borderId="3" xfId="1" applyNumberFormat="1" applyFont="1" applyBorder="1"/>
    <xf numFmtId="0" fontId="1" fillId="0" borderId="4" xfId="0" applyFont="1" applyBorder="1"/>
    <xf numFmtId="165" fontId="1" fillId="0" borderId="0" xfId="1" applyNumberFormat="1" applyFont="1" applyBorder="1"/>
    <xf numFmtId="0" fontId="1" fillId="0" borderId="5" xfId="0" applyFont="1" applyBorder="1"/>
    <xf numFmtId="9" fontId="1" fillId="0" borderId="4" xfId="0" applyNumberFormat="1" applyFont="1" applyBorder="1"/>
    <xf numFmtId="165" fontId="1" fillId="0" borderId="5" xfId="1" applyNumberFormat="1" applyFont="1" applyBorder="1"/>
    <xf numFmtId="165" fontId="1" fillId="0" borderId="1" xfId="1" applyNumberFormat="1" applyFont="1" applyBorder="1"/>
    <xf numFmtId="165" fontId="1" fillId="0" borderId="4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E438-19F1-3043-B912-69709A0C8B64}">
  <dimension ref="A1:AP52"/>
  <sheetViews>
    <sheetView tabSelected="1" topLeftCell="A15" workbookViewId="0">
      <pane xSplit="1" topLeftCell="E1" activePane="topRight" state="frozen"/>
      <selection pane="topRight" activeCell="H51" sqref="H51"/>
    </sheetView>
  </sheetViews>
  <sheetFormatPr baseColWidth="10" defaultRowHeight="16" x14ac:dyDescent="0.2"/>
  <cols>
    <col min="1" max="1" width="80" bestFit="1" customWidth="1"/>
    <col min="2" max="2" width="10.5" style="28" bestFit="1" customWidth="1"/>
    <col min="3" max="3" width="13" style="28" bestFit="1" customWidth="1"/>
    <col min="4" max="4" width="13.6640625" style="28" bestFit="1" customWidth="1"/>
    <col min="5" max="5" width="10.5" style="28" bestFit="1" customWidth="1"/>
    <col min="6" max="6" width="10.5" style="41" bestFit="1" customWidth="1"/>
    <col min="7" max="7" width="19.1640625" style="19" bestFit="1" customWidth="1"/>
    <col min="8" max="8" width="50.33203125" bestFit="1" customWidth="1"/>
    <col min="9" max="9" width="3.83203125" customWidth="1"/>
    <col min="10" max="10" width="10.33203125" style="28" bestFit="1" customWidth="1"/>
    <col min="11" max="11" width="15.83203125" style="28" bestFit="1" customWidth="1"/>
    <col min="12" max="12" width="14" style="28" bestFit="1" customWidth="1"/>
    <col min="13" max="13" width="10.33203125" bestFit="1" customWidth="1"/>
    <col min="14" max="14" width="15.83203125" bestFit="1" customWidth="1"/>
    <col min="15" max="15" width="14" bestFit="1" customWidth="1"/>
    <col min="16" max="16" width="10.33203125" bestFit="1" customWidth="1"/>
    <col min="17" max="17" width="15.83203125" bestFit="1" customWidth="1"/>
    <col min="18" max="18" width="14" bestFit="1" customWidth="1"/>
    <col min="19" max="19" width="10.33203125" bestFit="1" customWidth="1"/>
    <col min="20" max="20" width="15.83203125" bestFit="1" customWidth="1"/>
    <col min="21" max="21" width="14" bestFit="1" customWidth="1"/>
    <col min="22" max="22" width="10.33203125" bestFit="1" customWidth="1"/>
    <col min="23" max="23" width="15.83203125" bestFit="1" customWidth="1"/>
    <col min="24" max="24" width="14" bestFit="1" customWidth="1"/>
    <col min="25" max="25" width="10.33203125" bestFit="1" customWidth="1"/>
    <col min="26" max="26" width="15.83203125" bestFit="1" customWidth="1"/>
    <col min="27" max="27" width="14" bestFit="1" customWidth="1"/>
    <col min="28" max="28" width="10.33203125" bestFit="1" customWidth="1"/>
    <col min="29" max="29" width="15.83203125" bestFit="1" customWidth="1"/>
    <col min="30" max="30" width="14" bestFit="1" customWidth="1"/>
    <col min="31" max="31" width="10.33203125" bestFit="1" customWidth="1"/>
    <col min="32" max="32" width="15.83203125" bestFit="1" customWidth="1"/>
    <col min="33" max="33" width="14" bestFit="1" customWidth="1"/>
    <col min="34" max="34" width="10.33203125" bestFit="1" customWidth="1"/>
    <col min="35" max="35" width="15.83203125" bestFit="1" customWidth="1"/>
    <col min="36" max="36" width="14" bestFit="1" customWidth="1"/>
    <col min="37" max="37" width="10.33203125" bestFit="1" customWidth="1"/>
    <col min="38" max="38" width="15.83203125" bestFit="1" customWidth="1"/>
    <col min="39" max="39" width="14" bestFit="1" customWidth="1"/>
    <col min="40" max="40" width="10.33203125" bestFit="1" customWidth="1"/>
    <col min="41" max="41" width="15.83203125" bestFit="1" customWidth="1"/>
    <col min="42" max="42" width="14" bestFit="1" customWidth="1"/>
  </cols>
  <sheetData>
    <row r="1" spans="1:42" x14ac:dyDescent="0.2">
      <c r="A1" s="17" t="s">
        <v>0</v>
      </c>
      <c r="B1" s="33" t="s">
        <v>66</v>
      </c>
      <c r="C1" s="34"/>
      <c r="D1" s="35"/>
      <c r="E1" s="33" t="s">
        <v>61</v>
      </c>
      <c r="F1" s="35"/>
      <c r="G1" s="20" t="s">
        <v>65</v>
      </c>
      <c r="H1" s="15" t="s">
        <v>8</v>
      </c>
      <c r="J1" s="23" t="s">
        <v>48</v>
      </c>
      <c r="K1" s="23"/>
      <c r="L1" s="23"/>
      <c r="M1" s="22" t="s">
        <v>49</v>
      </c>
      <c r="N1" s="22"/>
      <c r="O1" s="22"/>
      <c r="P1" s="22" t="s">
        <v>50</v>
      </c>
      <c r="Q1" s="22"/>
      <c r="R1" s="22"/>
      <c r="S1" s="22" t="s">
        <v>51</v>
      </c>
      <c r="T1" s="22"/>
      <c r="U1" s="22"/>
      <c r="V1" s="22" t="s">
        <v>52</v>
      </c>
      <c r="W1" s="22"/>
      <c r="X1" s="22"/>
      <c r="Y1" s="22" t="s">
        <v>53</v>
      </c>
      <c r="Z1" s="22"/>
      <c r="AA1" s="22"/>
      <c r="AB1" s="22" t="s">
        <v>54</v>
      </c>
      <c r="AC1" s="22"/>
      <c r="AD1" s="22"/>
      <c r="AE1" s="22" t="s">
        <v>55</v>
      </c>
      <c r="AF1" s="22"/>
      <c r="AG1" s="22"/>
      <c r="AH1" s="22" t="s">
        <v>56</v>
      </c>
      <c r="AI1" s="22"/>
      <c r="AJ1" s="22"/>
      <c r="AK1" s="22" t="s">
        <v>57</v>
      </c>
      <c r="AL1" s="22"/>
      <c r="AM1" s="22"/>
      <c r="AN1" s="22" t="s">
        <v>58</v>
      </c>
      <c r="AO1" s="22"/>
      <c r="AP1" s="22"/>
    </row>
    <row r="2" spans="1:42" x14ac:dyDescent="0.2">
      <c r="A2" s="18"/>
      <c r="B2" s="24" t="s">
        <v>62</v>
      </c>
      <c r="C2" s="25" t="s">
        <v>6</v>
      </c>
      <c r="D2" s="26" t="s">
        <v>27</v>
      </c>
      <c r="E2" s="36" t="s">
        <v>6</v>
      </c>
      <c r="F2" s="37" t="s">
        <v>7</v>
      </c>
      <c r="G2" s="18"/>
      <c r="H2" s="16"/>
      <c r="J2" s="24" t="s">
        <v>59</v>
      </c>
      <c r="K2" s="25" t="s">
        <v>60</v>
      </c>
      <c r="L2" s="26" t="s">
        <v>61</v>
      </c>
      <c r="M2" s="9" t="s">
        <v>59</v>
      </c>
      <c r="N2" s="10" t="s">
        <v>60</v>
      </c>
      <c r="O2" s="11" t="s">
        <v>61</v>
      </c>
      <c r="P2" s="9" t="s">
        <v>59</v>
      </c>
      <c r="Q2" s="10" t="s">
        <v>60</v>
      </c>
      <c r="R2" s="11" t="s">
        <v>61</v>
      </c>
      <c r="S2" s="9" t="s">
        <v>59</v>
      </c>
      <c r="T2" s="10" t="s">
        <v>60</v>
      </c>
      <c r="U2" s="11" t="s">
        <v>61</v>
      </c>
      <c r="V2" s="9" t="s">
        <v>59</v>
      </c>
      <c r="W2" s="10" t="s">
        <v>60</v>
      </c>
      <c r="X2" s="11" t="s">
        <v>61</v>
      </c>
      <c r="Y2" s="9" t="s">
        <v>59</v>
      </c>
      <c r="Z2" s="10" t="s">
        <v>60</v>
      </c>
      <c r="AA2" s="11" t="s">
        <v>61</v>
      </c>
      <c r="AB2" s="9" t="s">
        <v>59</v>
      </c>
      <c r="AC2" s="10" t="s">
        <v>60</v>
      </c>
      <c r="AD2" s="11" t="s">
        <v>61</v>
      </c>
      <c r="AE2" s="9" t="s">
        <v>59</v>
      </c>
      <c r="AF2" s="10" t="s">
        <v>60</v>
      </c>
      <c r="AG2" s="11" t="s">
        <v>61</v>
      </c>
      <c r="AH2" s="9" t="s">
        <v>59</v>
      </c>
      <c r="AI2" s="10" t="s">
        <v>60</v>
      </c>
      <c r="AJ2" s="11" t="s">
        <v>61</v>
      </c>
      <c r="AK2" s="9" t="s">
        <v>59</v>
      </c>
      <c r="AL2" s="10" t="s">
        <v>60</v>
      </c>
      <c r="AM2" s="11" t="s">
        <v>61</v>
      </c>
      <c r="AN2" s="10" t="s">
        <v>59</v>
      </c>
      <c r="AO2" s="10" t="s">
        <v>60</v>
      </c>
      <c r="AP2" s="11" t="s">
        <v>61</v>
      </c>
    </row>
    <row r="3" spans="1:42" x14ac:dyDescent="0.2">
      <c r="A3" s="12" t="s">
        <v>1</v>
      </c>
      <c r="B3" s="13"/>
      <c r="C3" s="13"/>
      <c r="D3" s="13"/>
      <c r="E3" s="13"/>
      <c r="F3" s="13"/>
      <c r="G3" s="13"/>
      <c r="H3" s="14"/>
      <c r="J3" s="27"/>
      <c r="L3" s="29"/>
      <c r="M3" s="1"/>
      <c r="O3" s="2"/>
      <c r="P3" s="1"/>
      <c r="R3" s="2"/>
      <c r="S3" s="1"/>
      <c r="U3" s="2"/>
      <c r="V3" s="1"/>
      <c r="X3" s="2"/>
      <c r="Y3" s="1"/>
      <c r="AA3" s="2"/>
      <c r="AB3" s="1"/>
      <c r="AD3" s="2"/>
      <c r="AE3" s="1"/>
      <c r="AG3" s="2"/>
      <c r="AH3" s="1"/>
      <c r="AJ3" s="2"/>
      <c r="AK3" s="1"/>
      <c r="AM3" s="2"/>
      <c r="AP3" s="2"/>
    </row>
    <row r="4" spans="1:42" x14ac:dyDescent="0.2">
      <c r="A4" s="3" t="s">
        <v>2</v>
      </c>
      <c r="B4" s="38"/>
      <c r="C4" s="39"/>
      <c r="D4" s="40"/>
      <c r="E4" s="27">
        <v>500</v>
      </c>
      <c r="F4" s="29"/>
      <c r="H4" s="2" t="s">
        <v>12</v>
      </c>
      <c r="J4" s="27">
        <v>10</v>
      </c>
      <c r="L4" s="29">
        <f>J4*$E$4</f>
        <v>5000</v>
      </c>
      <c r="M4" s="1">
        <v>15</v>
      </c>
      <c r="N4" s="28"/>
      <c r="O4" s="29">
        <f>M4*$E$4</f>
        <v>7500</v>
      </c>
      <c r="P4" s="1">
        <v>25</v>
      </c>
      <c r="Q4" s="28"/>
      <c r="R4" s="29">
        <f>P4*$E$4</f>
        <v>12500</v>
      </c>
      <c r="S4" s="1">
        <v>40</v>
      </c>
      <c r="T4" s="28"/>
      <c r="U4" s="29">
        <f>S4*$E$4</f>
        <v>20000</v>
      </c>
      <c r="V4" s="1">
        <v>60</v>
      </c>
      <c r="W4" s="28"/>
      <c r="X4" s="29">
        <f>V4*$E$4</f>
        <v>30000</v>
      </c>
      <c r="Y4" s="1">
        <v>85</v>
      </c>
      <c r="Z4" s="28"/>
      <c r="AA4" s="29">
        <f>Y4*$E$4</f>
        <v>42500</v>
      </c>
      <c r="AB4" s="1">
        <v>115</v>
      </c>
      <c r="AC4" s="28"/>
      <c r="AD4" s="29">
        <f>AB4*$E$4</f>
        <v>57500</v>
      </c>
      <c r="AE4" s="1">
        <v>150</v>
      </c>
      <c r="AF4" s="28"/>
      <c r="AG4" s="29">
        <f>AE4*$E$4</f>
        <v>75000</v>
      </c>
      <c r="AH4" s="1">
        <v>190</v>
      </c>
      <c r="AI4" s="28"/>
      <c r="AJ4" s="29">
        <f>AH4*$E$4</f>
        <v>95000</v>
      </c>
      <c r="AK4" s="1">
        <v>235</v>
      </c>
      <c r="AL4" s="28"/>
      <c r="AM4" s="29">
        <f>AK4*$E$4</f>
        <v>117500</v>
      </c>
      <c r="AN4">
        <v>285</v>
      </c>
      <c r="AO4" s="28"/>
      <c r="AP4" s="29">
        <f>AN4*$E$4</f>
        <v>142500</v>
      </c>
    </row>
    <row r="5" spans="1:42" x14ac:dyDescent="0.2">
      <c r="A5" s="3" t="s">
        <v>3</v>
      </c>
      <c r="B5" s="38"/>
      <c r="C5" s="39"/>
      <c r="D5" s="40"/>
      <c r="E5" s="27">
        <v>500</v>
      </c>
      <c r="F5" s="29"/>
      <c r="H5" s="2" t="s">
        <v>11</v>
      </c>
      <c r="J5" s="27">
        <v>10</v>
      </c>
      <c r="L5" s="29">
        <f>J5*$E$5</f>
        <v>5000</v>
      </c>
      <c r="M5" s="1">
        <v>15</v>
      </c>
      <c r="N5" s="28"/>
      <c r="O5" s="29">
        <f>M5*$E$5</f>
        <v>7500</v>
      </c>
      <c r="P5" s="1">
        <v>25</v>
      </c>
      <c r="Q5" s="28"/>
      <c r="R5" s="29">
        <f>P5*$E$5</f>
        <v>12500</v>
      </c>
      <c r="S5" s="1">
        <v>40</v>
      </c>
      <c r="T5" s="28"/>
      <c r="U5" s="29">
        <f>S5*$E$5</f>
        <v>20000</v>
      </c>
      <c r="V5" s="1">
        <v>60</v>
      </c>
      <c r="W5" s="28"/>
      <c r="X5" s="29">
        <f>V5*$E$5</f>
        <v>30000</v>
      </c>
      <c r="Y5" s="1">
        <v>85</v>
      </c>
      <c r="Z5" s="28"/>
      <c r="AA5" s="29">
        <f>Y5*$E$5</f>
        <v>42500</v>
      </c>
      <c r="AB5" s="1">
        <v>115</v>
      </c>
      <c r="AC5" s="28"/>
      <c r="AD5" s="29">
        <f>AB5*$E$5</f>
        <v>57500</v>
      </c>
      <c r="AE5" s="1">
        <v>150</v>
      </c>
      <c r="AF5" s="28"/>
      <c r="AG5" s="29">
        <f>AE5*$E$5</f>
        <v>75000</v>
      </c>
      <c r="AH5" s="1">
        <v>190</v>
      </c>
      <c r="AI5" s="28"/>
      <c r="AJ5" s="29">
        <f>AH5*$E$5</f>
        <v>95000</v>
      </c>
      <c r="AK5" s="1">
        <v>235</v>
      </c>
      <c r="AL5" s="28"/>
      <c r="AM5" s="29">
        <f>AK5*$E$5</f>
        <v>117500</v>
      </c>
      <c r="AN5">
        <v>285</v>
      </c>
      <c r="AO5" s="28"/>
      <c r="AP5" s="29">
        <f>AN5*$E$5</f>
        <v>142500</v>
      </c>
    </row>
    <row r="6" spans="1:42" x14ac:dyDescent="0.2">
      <c r="A6" s="3" t="s">
        <v>4</v>
      </c>
      <c r="B6" s="38"/>
      <c r="C6" s="39"/>
      <c r="D6" s="40"/>
      <c r="E6" s="27"/>
      <c r="F6" s="29">
        <v>1000</v>
      </c>
      <c r="H6" s="2" t="s">
        <v>10</v>
      </c>
      <c r="J6" s="27">
        <v>3</v>
      </c>
      <c r="L6" s="29">
        <f>J6*$F$6</f>
        <v>3000</v>
      </c>
      <c r="M6" s="1">
        <v>5</v>
      </c>
      <c r="N6" s="28"/>
      <c r="O6" s="29">
        <f>M6*$F$6</f>
        <v>5000</v>
      </c>
      <c r="P6" s="1">
        <v>15</v>
      </c>
      <c r="Q6" s="28"/>
      <c r="R6" s="29">
        <f>P6*$F$6</f>
        <v>15000</v>
      </c>
      <c r="S6" s="1">
        <v>25</v>
      </c>
      <c r="T6" s="28"/>
      <c r="U6" s="29">
        <f>S6*$F$6</f>
        <v>25000</v>
      </c>
      <c r="V6" s="1">
        <v>41</v>
      </c>
      <c r="W6" s="28"/>
      <c r="X6" s="29">
        <f>V6*$F$6</f>
        <v>41000</v>
      </c>
      <c r="Y6" s="1">
        <v>61</v>
      </c>
      <c r="Z6" s="28"/>
      <c r="AA6" s="29">
        <f>Y6*$F$6</f>
        <v>61000</v>
      </c>
      <c r="AB6" s="1">
        <v>84</v>
      </c>
      <c r="AC6" s="28"/>
      <c r="AD6" s="29">
        <f>AB6*$F$6</f>
        <v>84000</v>
      </c>
      <c r="AE6" s="1">
        <v>112</v>
      </c>
      <c r="AF6" s="28"/>
      <c r="AG6" s="29">
        <f>AE6*$F$6</f>
        <v>112000</v>
      </c>
      <c r="AH6" s="1">
        <v>143</v>
      </c>
      <c r="AI6" s="28"/>
      <c r="AJ6" s="29">
        <f>AH6*$F$6</f>
        <v>143000</v>
      </c>
      <c r="AK6" s="1">
        <v>179</v>
      </c>
      <c r="AL6" s="28"/>
      <c r="AM6" s="29">
        <f>AK6*$F$6</f>
        <v>179000</v>
      </c>
      <c r="AN6">
        <v>219</v>
      </c>
      <c r="AO6" s="28"/>
      <c r="AP6" s="29">
        <f>AN6*$F$6</f>
        <v>219000</v>
      </c>
    </row>
    <row r="7" spans="1:42" x14ac:dyDescent="0.2">
      <c r="A7" s="3" t="s">
        <v>5</v>
      </c>
      <c r="B7" s="38"/>
      <c r="C7" s="39"/>
      <c r="D7" s="40"/>
      <c r="E7" s="27"/>
      <c r="F7" s="29">
        <v>3000</v>
      </c>
      <c r="H7" s="2" t="s">
        <v>9</v>
      </c>
      <c r="J7" s="27">
        <v>1</v>
      </c>
      <c r="L7" s="29">
        <f>J7*$F$7</f>
        <v>3000</v>
      </c>
      <c r="M7" s="1">
        <v>3</v>
      </c>
      <c r="N7" s="28"/>
      <c r="O7" s="29">
        <f>M7*$F$7</f>
        <v>9000</v>
      </c>
      <c r="P7" s="1">
        <v>10</v>
      </c>
      <c r="Q7" s="28"/>
      <c r="R7" s="29">
        <f>P7*$F$7</f>
        <v>30000</v>
      </c>
      <c r="S7" s="1">
        <v>15</v>
      </c>
      <c r="T7" s="28"/>
      <c r="U7" s="29">
        <f>S7*$F$7</f>
        <v>45000</v>
      </c>
      <c r="V7" s="1">
        <v>23</v>
      </c>
      <c r="W7" s="28"/>
      <c r="X7" s="29">
        <f>V7*$F$7</f>
        <v>69000</v>
      </c>
      <c r="Y7" s="1">
        <v>33</v>
      </c>
      <c r="Z7" s="28"/>
      <c r="AA7" s="29">
        <f>Y7*$F$7</f>
        <v>99000</v>
      </c>
      <c r="AB7" s="1">
        <v>44</v>
      </c>
      <c r="AC7" s="28"/>
      <c r="AD7" s="29">
        <f>AB7*$F$7</f>
        <v>132000</v>
      </c>
      <c r="AE7" s="1">
        <v>56</v>
      </c>
      <c r="AF7" s="28"/>
      <c r="AG7" s="29">
        <f>AE7*$F$7</f>
        <v>168000</v>
      </c>
      <c r="AH7" s="1">
        <v>70</v>
      </c>
      <c r="AI7" s="28"/>
      <c r="AJ7" s="29">
        <f>AH7*$F$7</f>
        <v>210000</v>
      </c>
      <c r="AK7" s="1">
        <v>85</v>
      </c>
      <c r="AL7" s="28"/>
      <c r="AM7" s="29">
        <f>AK7*$F$7</f>
        <v>255000</v>
      </c>
      <c r="AN7">
        <v>102</v>
      </c>
      <c r="AO7" s="28"/>
      <c r="AP7" s="29">
        <f>AN7*$F$7</f>
        <v>306000</v>
      </c>
    </row>
    <row r="8" spans="1:42" x14ac:dyDescent="0.2">
      <c r="A8" s="12" t="s">
        <v>13</v>
      </c>
      <c r="B8" s="13"/>
      <c r="C8" s="13"/>
      <c r="D8" s="13"/>
      <c r="E8" s="13"/>
      <c r="F8" s="13"/>
      <c r="G8" s="13"/>
      <c r="H8" s="14"/>
      <c r="J8" s="27"/>
      <c r="L8" s="29"/>
      <c r="M8" s="1"/>
      <c r="N8" s="28"/>
      <c r="O8" s="29"/>
      <c r="P8" s="1"/>
      <c r="Q8" s="28"/>
      <c r="R8" s="29"/>
      <c r="S8" s="1"/>
      <c r="T8" s="28"/>
      <c r="U8" s="29"/>
      <c r="V8" s="1"/>
      <c r="W8" s="28"/>
      <c r="X8" s="29"/>
      <c r="Y8" s="1"/>
      <c r="Z8" s="28"/>
      <c r="AA8" s="29"/>
      <c r="AB8" s="1"/>
      <c r="AC8" s="28"/>
      <c r="AD8" s="29"/>
      <c r="AE8" s="1"/>
      <c r="AF8" s="28"/>
      <c r="AG8" s="29"/>
      <c r="AH8" s="1"/>
      <c r="AI8" s="28"/>
      <c r="AJ8" s="29"/>
      <c r="AK8" s="1"/>
      <c r="AL8" s="28"/>
      <c r="AM8" s="29"/>
      <c r="AO8" s="28"/>
      <c r="AP8" s="29"/>
    </row>
    <row r="9" spans="1:42" x14ac:dyDescent="0.2">
      <c r="A9" s="3" t="s">
        <v>63</v>
      </c>
      <c r="B9" s="38">
        <v>500</v>
      </c>
      <c r="C9" s="39"/>
      <c r="D9" s="40"/>
      <c r="E9" s="27">
        <v>500</v>
      </c>
      <c r="F9" s="29"/>
      <c r="H9" s="2" t="s">
        <v>14</v>
      </c>
      <c r="J9" s="27">
        <v>10</v>
      </c>
      <c r="K9" s="28">
        <f>J9*$B$9</f>
        <v>5000</v>
      </c>
      <c r="L9" s="29">
        <f>J9*$E$9</f>
        <v>5000</v>
      </c>
      <c r="M9" s="1">
        <v>15</v>
      </c>
      <c r="N9" s="28">
        <f>M9*$B$9</f>
        <v>7500</v>
      </c>
      <c r="O9" s="29">
        <f>M9*$E$9</f>
        <v>7500</v>
      </c>
      <c r="P9" s="1">
        <v>25</v>
      </c>
      <c r="Q9" s="28">
        <f>P9*$B$9</f>
        <v>12500</v>
      </c>
      <c r="R9" s="29">
        <f>P9*$E$9</f>
        <v>12500</v>
      </c>
      <c r="S9" s="1">
        <v>50</v>
      </c>
      <c r="T9" s="28">
        <f>S9*$B$9</f>
        <v>25000</v>
      </c>
      <c r="U9" s="29">
        <f>S9*$E$9</f>
        <v>25000</v>
      </c>
      <c r="V9" s="1">
        <v>83</v>
      </c>
      <c r="W9" s="28">
        <f>V9*$B$9</f>
        <v>41500</v>
      </c>
      <c r="X9" s="29">
        <f>V9*$E$9</f>
        <v>41500</v>
      </c>
      <c r="Y9" s="1">
        <v>126</v>
      </c>
      <c r="Z9" s="28">
        <f>Y9*$B$9</f>
        <v>63000</v>
      </c>
      <c r="AA9" s="29">
        <f>Y9*$E$9</f>
        <v>63000</v>
      </c>
      <c r="AB9" s="1">
        <v>179</v>
      </c>
      <c r="AC9" s="28">
        <f>AB9*$B$9</f>
        <v>89500</v>
      </c>
      <c r="AD9" s="29">
        <f>AB9*$E$9</f>
        <v>89500</v>
      </c>
      <c r="AE9" s="1">
        <v>242</v>
      </c>
      <c r="AF9" s="28">
        <f>AE9*$B$9</f>
        <v>121000</v>
      </c>
      <c r="AG9" s="29">
        <f>AE9*$E$9</f>
        <v>121000</v>
      </c>
      <c r="AH9" s="1">
        <v>315</v>
      </c>
      <c r="AI9" s="28">
        <f>AH9*$B$9</f>
        <v>157500</v>
      </c>
      <c r="AJ9" s="29">
        <f>AH9*$E$9</f>
        <v>157500</v>
      </c>
      <c r="AK9" s="1">
        <v>398</v>
      </c>
      <c r="AL9" s="28">
        <f>AK9*$B$9</f>
        <v>199000</v>
      </c>
      <c r="AM9" s="29">
        <f>AK9*$E$9</f>
        <v>199000</v>
      </c>
      <c r="AN9">
        <v>491</v>
      </c>
      <c r="AO9" s="28">
        <f>AN9*$B$9</f>
        <v>245500</v>
      </c>
      <c r="AP9" s="29">
        <f>AN9*$E$9</f>
        <v>245500</v>
      </c>
    </row>
    <row r="10" spans="1:42" x14ac:dyDescent="0.2">
      <c r="A10" s="3" t="s">
        <v>64</v>
      </c>
      <c r="B10" s="38">
        <v>1000</v>
      </c>
      <c r="C10" s="39"/>
      <c r="D10" s="40"/>
      <c r="E10" s="27">
        <v>500</v>
      </c>
      <c r="F10" s="29"/>
      <c r="H10" s="2" t="s">
        <v>15</v>
      </c>
      <c r="J10" s="27">
        <v>3</v>
      </c>
      <c r="K10" s="28">
        <f>J10*$B$10</f>
        <v>3000</v>
      </c>
      <c r="L10" s="29">
        <f>J10*$E$10</f>
        <v>1500</v>
      </c>
      <c r="M10" s="1">
        <v>5</v>
      </c>
      <c r="N10" s="28">
        <f>M10*$B$10</f>
        <v>5000</v>
      </c>
      <c r="O10" s="29">
        <f>M10*$E$10</f>
        <v>2500</v>
      </c>
      <c r="P10" s="1">
        <v>8</v>
      </c>
      <c r="Q10" s="28">
        <f>P10*$B$10</f>
        <v>8000</v>
      </c>
      <c r="R10" s="29">
        <f>P10*$E$10</f>
        <v>4000</v>
      </c>
      <c r="S10" s="1">
        <v>12</v>
      </c>
      <c r="T10" s="28">
        <f>S10*$B$10</f>
        <v>12000</v>
      </c>
      <c r="U10" s="29">
        <f>S10*$E$10</f>
        <v>6000</v>
      </c>
      <c r="V10" s="1">
        <v>17</v>
      </c>
      <c r="W10" s="28">
        <f>V10*$B$10</f>
        <v>17000</v>
      </c>
      <c r="X10" s="29">
        <f>V10*$E$10</f>
        <v>8500</v>
      </c>
      <c r="Y10" s="1">
        <v>23</v>
      </c>
      <c r="Z10" s="28">
        <f>Y10*$B$10</f>
        <v>23000</v>
      </c>
      <c r="AA10" s="29">
        <f>Y10*$E$10</f>
        <v>11500</v>
      </c>
      <c r="AB10" s="1">
        <v>30</v>
      </c>
      <c r="AC10" s="28">
        <f>AB10*$B$10</f>
        <v>30000</v>
      </c>
      <c r="AD10" s="29">
        <f>AB10*$E$10</f>
        <v>15000</v>
      </c>
      <c r="AE10" s="1">
        <v>38</v>
      </c>
      <c r="AF10" s="28">
        <f>AE10*$B$10</f>
        <v>38000</v>
      </c>
      <c r="AG10" s="29">
        <f>AE10*$E$10</f>
        <v>19000</v>
      </c>
      <c r="AH10" s="1">
        <v>47</v>
      </c>
      <c r="AI10" s="28">
        <f>AH10*$B$10</f>
        <v>47000</v>
      </c>
      <c r="AJ10" s="29">
        <f>AH10*$E$10</f>
        <v>23500</v>
      </c>
      <c r="AK10" s="1">
        <v>57</v>
      </c>
      <c r="AL10" s="28">
        <f>AK10*$B$10</f>
        <v>57000</v>
      </c>
      <c r="AM10" s="29">
        <f>AK10*$E$10</f>
        <v>28500</v>
      </c>
      <c r="AN10">
        <v>68</v>
      </c>
      <c r="AO10" s="28">
        <f>AN10*$B$10</f>
        <v>68000</v>
      </c>
      <c r="AP10" s="29">
        <f>AN10*$E$10</f>
        <v>34000</v>
      </c>
    </row>
    <row r="11" spans="1:42" x14ac:dyDescent="0.2">
      <c r="A11" s="3" t="s">
        <v>24</v>
      </c>
      <c r="B11" s="38">
        <v>200</v>
      </c>
      <c r="C11" s="39"/>
      <c r="D11" s="40"/>
      <c r="E11" s="27"/>
      <c r="F11" s="29"/>
      <c r="H11" s="2" t="s">
        <v>16</v>
      </c>
      <c r="J11" s="27"/>
      <c r="L11" s="29"/>
      <c r="M11" s="1"/>
      <c r="N11" s="28"/>
      <c r="O11" s="29"/>
      <c r="P11" s="1"/>
      <c r="Q11" s="28"/>
      <c r="R11" s="29"/>
      <c r="S11" s="1"/>
      <c r="T11" s="28"/>
      <c r="U11" s="29"/>
      <c r="V11" s="1"/>
      <c r="W11" s="28"/>
      <c r="X11" s="29"/>
      <c r="Y11" s="1"/>
      <c r="Z11" s="28"/>
      <c r="AA11" s="29"/>
      <c r="AB11" s="1"/>
      <c r="AC11" s="28"/>
      <c r="AD11" s="29"/>
      <c r="AE11" s="1"/>
      <c r="AF11" s="28"/>
      <c r="AG11" s="29"/>
      <c r="AH11" s="1"/>
      <c r="AI11" s="28"/>
      <c r="AJ11" s="29"/>
      <c r="AK11" s="1"/>
      <c r="AL11" s="28"/>
      <c r="AM11" s="29"/>
      <c r="AO11" s="28"/>
      <c r="AP11" s="29"/>
    </row>
    <row r="12" spans="1:42" x14ac:dyDescent="0.2">
      <c r="A12" s="12" t="s">
        <v>17</v>
      </c>
      <c r="B12" s="13"/>
      <c r="C12" s="13"/>
      <c r="D12" s="13"/>
      <c r="E12" s="13"/>
      <c r="F12" s="13"/>
      <c r="G12" s="13"/>
      <c r="H12" s="14"/>
      <c r="J12" s="27"/>
      <c r="L12" s="29"/>
      <c r="M12" s="1"/>
      <c r="N12" s="28"/>
      <c r="O12" s="29"/>
      <c r="P12" s="1"/>
      <c r="Q12" s="28"/>
      <c r="R12" s="29"/>
      <c r="S12" s="1"/>
      <c r="T12" s="28"/>
      <c r="U12" s="29"/>
      <c r="V12" s="1"/>
      <c r="W12" s="28"/>
      <c r="X12" s="29"/>
      <c r="Y12" s="1"/>
      <c r="Z12" s="28"/>
      <c r="AA12" s="29"/>
      <c r="AB12" s="1"/>
      <c r="AC12" s="28"/>
      <c r="AD12" s="29"/>
      <c r="AE12" s="1"/>
      <c r="AF12" s="28"/>
      <c r="AG12" s="29"/>
      <c r="AH12" s="1"/>
      <c r="AI12" s="28"/>
      <c r="AJ12" s="29"/>
      <c r="AK12" s="1"/>
      <c r="AL12" s="28"/>
      <c r="AM12" s="29"/>
      <c r="AO12" s="28"/>
      <c r="AP12" s="29"/>
    </row>
    <row r="13" spans="1:42" x14ac:dyDescent="0.2">
      <c r="A13" s="3" t="s">
        <v>18</v>
      </c>
      <c r="B13" s="38">
        <v>375</v>
      </c>
      <c r="C13" s="28">
        <v>22500</v>
      </c>
      <c r="D13" s="29">
        <v>20000</v>
      </c>
      <c r="E13" s="27">
        <v>2000</v>
      </c>
      <c r="F13" s="29"/>
      <c r="H13" s="2" t="s">
        <v>20</v>
      </c>
      <c r="J13" s="27">
        <v>5</v>
      </c>
      <c r="K13" s="28">
        <f>J13*($C$13+$D$13)</f>
        <v>212500</v>
      </c>
      <c r="L13" s="29">
        <f>J13*$E$13</f>
        <v>10000</v>
      </c>
      <c r="M13" s="1">
        <v>10</v>
      </c>
      <c r="N13" s="28">
        <f>M13*($C$13+$D$13)</f>
        <v>425000</v>
      </c>
      <c r="O13" s="29">
        <f>M13*$E$13</f>
        <v>20000</v>
      </c>
      <c r="P13" s="1">
        <v>20</v>
      </c>
      <c r="Q13" s="28">
        <f>P13*($C$13+$D$13)</f>
        <v>850000</v>
      </c>
      <c r="R13" s="29">
        <f>P13*$E$13</f>
        <v>40000</v>
      </c>
      <c r="S13" s="1">
        <v>30</v>
      </c>
      <c r="T13" s="28">
        <f>S13*($C$13+$D$13)</f>
        <v>1275000</v>
      </c>
      <c r="U13" s="29">
        <f>S13*$E$13</f>
        <v>60000</v>
      </c>
      <c r="V13" s="1">
        <v>44</v>
      </c>
      <c r="W13" s="28">
        <f>V13*($C$13+$D$13)</f>
        <v>1870000</v>
      </c>
      <c r="X13" s="29">
        <f>V13*$E$13</f>
        <v>88000</v>
      </c>
      <c r="Y13" s="1">
        <v>60</v>
      </c>
      <c r="Z13" s="28">
        <f>Y13*($C$13+$D$13)</f>
        <v>2550000</v>
      </c>
      <c r="AA13" s="29">
        <f>Y13*$E$13</f>
        <v>120000</v>
      </c>
      <c r="AB13" s="1">
        <v>78</v>
      </c>
      <c r="AC13" s="28">
        <f>AB13*($C$13+$D$13)</f>
        <v>3315000</v>
      </c>
      <c r="AD13" s="29">
        <f>AB13*$E$13</f>
        <v>156000</v>
      </c>
      <c r="AE13" s="1">
        <v>99</v>
      </c>
      <c r="AF13" s="28">
        <f>AE13*($C$13+$D$13)</f>
        <v>4207500</v>
      </c>
      <c r="AG13" s="29">
        <f>AE13*$E$13</f>
        <v>198000</v>
      </c>
      <c r="AH13" s="1">
        <v>123</v>
      </c>
      <c r="AI13" s="28">
        <f>AH13*($C$13+$D$13)</f>
        <v>5227500</v>
      </c>
      <c r="AJ13" s="29">
        <f>AH13*$E$13</f>
        <v>246000</v>
      </c>
      <c r="AK13" s="1">
        <v>149</v>
      </c>
      <c r="AL13" s="28">
        <f>AK13*($C$13+$D$13)</f>
        <v>6332500</v>
      </c>
      <c r="AM13" s="29">
        <f>AK13*$E$13</f>
        <v>298000</v>
      </c>
      <c r="AN13">
        <v>177</v>
      </c>
      <c r="AO13" s="28">
        <f>AN13*($C$13+$D$13)</f>
        <v>7522500</v>
      </c>
      <c r="AP13" s="29">
        <f>AN13*$E$13</f>
        <v>354000</v>
      </c>
    </row>
    <row r="14" spans="1:42" x14ac:dyDescent="0.2">
      <c r="A14" s="3" t="s">
        <v>19</v>
      </c>
      <c r="B14" s="38">
        <v>1125</v>
      </c>
      <c r="C14" s="28">
        <v>67500</v>
      </c>
      <c r="D14" s="29">
        <v>50000</v>
      </c>
      <c r="E14" s="27">
        <v>5000</v>
      </c>
      <c r="F14" s="29"/>
      <c r="H14" s="2" t="s">
        <v>21</v>
      </c>
      <c r="J14" s="27">
        <v>1</v>
      </c>
      <c r="K14" s="28">
        <f>J14*($C$14+$D$14)</f>
        <v>117500</v>
      </c>
      <c r="L14" s="29">
        <f>J14*$E$14</f>
        <v>5000</v>
      </c>
      <c r="M14" s="1">
        <v>3</v>
      </c>
      <c r="N14" s="28">
        <f>M14*($C$14+$D$14)</f>
        <v>352500</v>
      </c>
      <c r="O14" s="29">
        <f>M14*$E$14</f>
        <v>15000</v>
      </c>
      <c r="P14" s="1">
        <v>5</v>
      </c>
      <c r="Q14" s="28">
        <f>P14*($C$14+$D$14)</f>
        <v>587500</v>
      </c>
      <c r="R14" s="29">
        <f>P14*$E$14</f>
        <v>25000</v>
      </c>
      <c r="S14" s="1">
        <v>8</v>
      </c>
      <c r="T14" s="28">
        <f>S14*($C$14+$D$14)</f>
        <v>940000</v>
      </c>
      <c r="U14" s="29">
        <f>S14*$E$14</f>
        <v>40000</v>
      </c>
      <c r="V14" s="1">
        <v>11</v>
      </c>
      <c r="W14" s="28">
        <f>V14*($C$14+$D$14)</f>
        <v>1292500</v>
      </c>
      <c r="X14" s="29">
        <f>V14*$E$14</f>
        <v>55000</v>
      </c>
      <c r="Y14" s="1">
        <v>15</v>
      </c>
      <c r="Z14" s="28">
        <f>Y14*($C$14+$D$14)</f>
        <v>1762500</v>
      </c>
      <c r="AA14" s="29">
        <f>Y14*$E$14</f>
        <v>75000</v>
      </c>
      <c r="AB14" s="1">
        <v>19</v>
      </c>
      <c r="AC14" s="28">
        <f>AB14*($C$14+$D$14)</f>
        <v>2232500</v>
      </c>
      <c r="AD14" s="29">
        <f>AB14*$E$14</f>
        <v>95000</v>
      </c>
      <c r="AE14" s="1">
        <v>24</v>
      </c>
      <c r="AF14" s="28">
        <f>AE14*($C$14+$D$14)</f>
        <v>2820000</v>
      </c>
      <c r="AG14" s="29">
        <f>AE14*$E$14</f>
        <v>120000</v>
      </c>
      <c r="AH14" s="1">
        <v>29</v>
      </c>
      <c r="AI14" s="28">
        <f>AH14*($C$14+$D$14)</f>
        <v>3407500</v>
      </c>
      <c r="AJ14" s="29">
        <f>AH14*$E$14</f>
        <v>145000</v>
      </c>
      <c r="AK14" s="1">
        <v>35</v>
      </c>
      <c r="AL14" s="28">
        <f>AK14*($C$14+$D$14)</f>
        <v>4112500</v>
      </c>
      <c r="AM14" s="29">
        <f>AK14*$E$14</f>
        <v>175000</v>
      </c>
      <c r="AN14">
        <v>42</v>
      </c>
      <c r="AO14" s="28">
        <f>AN14*($C$14+$D$14)</f>
        <v>4935000</v>
      </c>
      <c r="AP14" s="29">
        <f>AN14*$E$14</f>
        <v>210000</v>
      </c>
    </row>
    <row r="15" spans="1:42" x14ac:dyDescent="0.2">
      <c r="A15" s="12" t="s">
        <v>25</v>
      </c>
      <c r="B15" s="13"/>
      <c r="C15" s="13"/>
      <c r="D15" s="13"/>
      <c r="E15" s="13"/>
      <c r="F15" s="13"/>
      <c r="G15" s="13"/>
      <c r="H15" s="14"/>
      <c r="J15" s="27"/>
      <c r="L15" s="29"/>
      <c r="M15" s="1"/>
      <c r="N15" s="28"/>
      <c r="O15" s="29"/>
      <c r="P15" s="1"/>
      <c r="Q15" s="28"/>
      <c r="R15" s="29"/>
      <c r="S15" s="1"/>
      <c r="T15" s="28"/>
      <c r="U15" s="29"/>
      <c r="V15" s="1"/>
      <c r="W15" s="28"/>
      <c r="X15" s="29"/>
      <c r="Y15" s="1"/>
      <c r="Z15" s="28"/>
      <c r="AA15" s="29"/>
      <c r="AB15" s="1"/>
      <c r="AC15" s="28"/>
      <c r="AD15" s="29"/>
      <c r="AE15" s="1"/>
      <c r="AF15" s="28"/>
      <c r="AG15" s="29"/>
      <c r="AH15" s="1"/>
      <c r="AI15" s="28"/>
      <c r="AJ15" s="29"/>
      <c r="AK15" s="1"/>
      <c r="AL15" s="28"/>
      <c r="AM15" s="29"/>
      <c r="AO15" s="28"/>
      <c r="AP15" s="29"/>
    </row>
    <row r="16" spans="1:42" x14ac:dyDescent="0.2">
      <c r="A16" s="3" t="s">
        <v>22</v>
      </c>
      <c r="B16" s="38">
        <v>1000</v>
      </c>
      <c r="D16" s="29"/>
      <c r="E16" s="27">
        <v>500</v>
      </c>
      <c r="F16" s="29"/>
      <c r="H16" s="2"/>
      <c r="J16" s="27">
        <v>10</v>
      </c>
      <c r="K16" s="28">
        <f>J16*$B$16</f>
        <v>10000</v>
      </c>
      <c r="L16" s="29">
        <f>J16*$E$16</f>
        <v>5000</v>
      </c>
      <c r="M16" s="1">
        <v>20</v>
      </c>
      <c r="N16" s="28">
        <f>M16*$B$16</f>
        <v>20000</v>
      </c>
      <c r="O16" s="29">
        <f>M16*$E$16</f>
        <v>10000</v>
      </c>
      <c r="P16" s="1">
        <v>50</v>
      </c>
      <c r="Q16" s="28">
        <f>P16*$B$16</f>
        <v>50000</v>
      </c>
      <c r="R16" s="29">
        <f>P16*$E$16</f>
        <v>25000</v>
      </c>
      <c r="S16" s="1">
        <v>100</v>
      </c>
      <c r="T16" s="28">
        <f>S16*$B$16</f>
        <v>100000</v>
      </c>
      <c r="U16" s="29">
        <f>S16*$E$16</f>
        <v>50000</v>
      </c>
      <c r="V16" s="1">
        <v>170</v>
      </c>
      <c r="W16" s="28">
        <f>V16*$B$16</f>
        <v>170000</v>
      </c>
      <c r="X16" s="29">
        <f>V16*$E$16</f>
        <v>85000</v>
      </c>
      <c r="Y16" s="1">
        <v>260</v>
      </c>
      <c r="Z16" s="28">
        <f>Y16*$B$16</f>
        <v>260000</v>
      </c>
      <c r="AA16" s="29">
        <f>Y16*$E$16</f>
        <v>130000</v>
      </c>
      <c r="AB16" s="1">
        <v>370</v>
      </c>
      <c r="AC16" s="28">
        <f>AB16*$B$16</f>
        <v>370000</v>
      </c>
      <c r="AD16" s="29">
        <f>AB16*$E$16</f>
        <v>185000</v>
      </c>
      <c r="AE16" s="1">
        <v>500</v>
      </c>
      <c r="AF16" s="28">
        <f>AE16*$B$16</f>
        <v>500000</v>
      </c>
      <c r="AG16" s="29">
        <f>AE16*$E$16</f>
        <v>250000</v>
      </c>
      <c r="AH16" s="1">
        <v>650</v>
      </c>
      <c r="AI16" s="28">
        <f>AH16*$B$16</f>
        <v>650000</v>
      </c>
      <c r="AJ16" s="29">
        <f>AH16*$E$16</f>
        <v>325000</v>
      </c>
      <c r="AK16" s="1">
        <v>820</v>
      </c>
      <c r="AL16" s="28">
        <f>AK16*$B$16</f>
        <v>820000</v>
      </c>
      <c r="AM16" s="29">
        <f>AK16*$E$16</f>
        <v>410000</v>
      </c>
      <c r="AN16">
        <v>1010</v>
      </c>
      <c r="AO16" s="28">
        <f>AN16*$B$16</f>
        <v>1010000</v>
      </c>
      <c r="AP16" s="29">
        <f>AN16*$E$16</f>
        <v>505000</v>
      </c>
    </row>
    <row r="17" spans="1:42" x14ac:dyDescent="0.2">
      <c r="A17" s="3" t="s">
        <v>23</v>
      </c>
      <c r="B17" s="38">
        <v>2500</v>
      </c>
      <c r="D17" s="29"/>
      <c r="E17" s="27">
        <v>1000</v>
      </c>
      <c r="F17" s="29"/>
      <c r="H17" s="2"/>
      <c r="J17" s="27">
        <v>3</v>
      </c>
      <c r="K17" s="28">
        <f>J17*$B$17</f>
        <v>7500</v>
      </c>
      <c r="L17" s="29">
        <f>J17*$E$17</f>
        <v>3000</v>
      </c>
      <c r="M17" s="1">
        <v>8</v>
      </c>
      <c r="N17" s="28">
        <f>M17*$B$17</f>
        <v>20000</v>
      </c>
      <c r="O17" s="29">
        <f>M17*$E$17</f>
        <v>8000</v>
      </c>
      <c r="P17" s="1">
        <v>15</v>
      </c>
      <c r="Q17" s="28">
        <f>P17*$B$17</f>
        <v>37500</v>
      </c>
      <c r="R17" s="29">
        <f>P17*$E$17</f>
        <v>15000</v>
      </c>
      <c r="S17" s="1">
        <v>25</v>
      </c>
      <c r="T17" s="28">
        <f>S17*$B$17</f>
        <v>62500</v>
      </c>
      <c r="U17" s="29">
        <f>S17*$E$17</f>
        <v>25000</v>
      </c>
      <c r="V17" s="1">
        <v>37</v>
      </c>
      <c r="W17" s="28">
        <f>V17*$B$17</f>
        <v>92500</v>
      </c>
      <c r="X17" s="29">
        <f>V17*$E$17</f>
        <v>37000</v>
      </c>
      <c r="Y17" s="1">
        <v>52</v>
      </c>
      <c r="Z17" s="28">
        <f>Y17*$B$17</f>
        <v>130000</v>
      </c>
      <c r="AA17" s="29">
        <f>Y17*$E$17</f>
        <v>52000</v>
      </c>
      <c r="AB17" s="1">
        <v>69</v>
      </c>
      <c r="AC17" s="28">
        <f>AB17*$B$17</f>
        <v>172500</v>
      </c>
      <c r="AD17" s="29">
        <f>AB17*$E$17</f>
        <v>69000</v>
      </c>
      <c r="AE17" s="1">
        <v>89</v>
      </c>
      <c r="AF17" s="28">
        <f>AE17*$B$17</f>
        <v>222500</v>
      </c>
      <c r="AG17" s="29">
        <f>AE17*$E$17</f>
        <v>89000</v>
      </c>
      <c r="AH17" s="1">
        <v>111</v>
      </c>
      <c r="AI17" s="28">
        <f>AH17*$B$17</f>
        <v>277500</v>
      </c>
      <c r="AJ17" s="29">
        <f>AH17*$E$17</f>
        <v>111000</v>
      </c>
      <c r="AK17" s="1">
        <v>136</v>
      </c>
      <c r="AL17" s="28">
        <f>AK17*$B$17</f>
        <v>340000</v>
      </c>
      <c r="AM17" s="29">
        <f>AK17*$E$17</f>
        <v>136000</v>
      </c>
      <c r="AN17">
        <v>164</v>
      </c>
      <c r="AO17" s="28">
        <f>AN17*$B$17</f>
        <v>410000</v>
      </c>
      <c r="AP17" s="29">
        <f>AN17*$E$17</f>
        <v>164000</v>
      </c>
    </row>
    <row r="18" spans="1:42" x14ac:dyDescent="0.2">
      <c r="A18" s="3" t="s">
        <v>24</v>
      </c>
      <c r="B18" s="38">
        <v>250</v>
      </c>
      <c r="D18" s="29"/>
      <c r="E18" s="27"/>
      <c r="F18" s="29"/>
      <c r="H18" s="2"/>
      <c r="J18" s="27"/>
      <c r="L18" s="29"/>
      <c r="M18" s="1"/>
      <c r="N18" s="28"/>
      <c r="O18" s="29"/>
      <c r="P18" s="1"/>
      <c r="Q18" s="28"/>
      <c r="R18" s="29"/>
      <c r="S18" s="1"/>
      <c r="T18" s="28"/>
      <c r="U18" s="29"/>
      <c r="V18" s="1"/>
      <c r="W18" s="28"/>
      <c r="X18" s="29"/>
      <c r="Y18" s="1"/>
      <c r="Z18" s="28"/>
      <c r="AA18" s="29"/>
      <c r="AB18" s="1"/>
      <c r="AC18" s="28"/>
      <c r="AD18" s="29"/>
      <c r="AE18" s="1"/>
      <c r="AF18" s="28"/>
      <c r="AG18" s="29"/>
      <c r="AH18" s="1"/>
      <c r="AI18" s="28"/>
      <c r="AJ18" s="29"/>
      <c r="AK18" s="1"/>
      <c r="AL18" s="28"/>
      <c r="AM18" s="29"/>
      <c r="AO18" s="28"/>
      <c r="AP18" s="29"/>
    </row>
    <row r="19" spans="1:42" x14ac:dyDescent="0.2">
      <c r="A19" s="12" t="s">
        <v>26</v>
      </c>
      <c r="B19" s="13"/>
      <c r="C19" s="13"/>
      <c r="D19" s="13"/>
      <c r="E19" s="13"/>
      <c r="F19" s="13"/>
      <c r="G19" s="13"/>
      <c r="H19" s="14"/>
      <c r="J19" s="27"/>
      <c r="L19" s="29"/>
      <c r="M19" s="1"/>
      <c r="N19" s="28"/>
      <c r="O19" s="29"/>
      <c r="P19" s="1"/>
      <c r="Q19" s="28"/>
      <c r="R19" s="29"/>
      <c r="S19" s="1"/>
      <c r="T19" s="28"/>
      <c r="U19" s="29"/>
      <c r="V19" s="1"/>
      <c r="W19" s="28"/>
      <c r="X19" s="29"/>
      <c r="Y19" s="1"/>
      <c r="Z19" s="28"/>
      <c r="AA19" s="29"/>
      <c r="AB19" s="1"/>
      <c r="AC19" s="28"/>
      <c r="AD19" s="29"/>
      <c r="AE19" s="1"/>
      <c r="AF19" s="28"/>
      <c r="AG19" s="29"/>
      <c r="AH19" s="1"/>
      <c r="AI19" s="28"/>
      <c r="AJ19" s="29"/>
      <c r="AK19" s="1"/>
      <c r="AL19" s="28"/>
      <c r="AM19" s="29"/>
      <c r="AO19" s="28"/>
      <c r="AP19" s="29"/>
    </row>
    <row r="20" spans="1:42" x14ac:dyDescent="0.2">
      <c r="A20" s="3" t="s">
        <v>28</v>
      </c>
      <c r="B20" s="27"/>
      <c r="D20" s="29"/>
      <c r="E20" s="27"/>
      <c r="F20" s="29"/>
      <c r="H20" s="2"/>
      <c r="J20" s="27"/>
      <c r="L20" s="29"/>
      <c r="M20" s="1"/>
      <c r="N20" s="28"/>
      <c r="O20" s="29"/>
      <c r="P20" s="1"/>
      <c r="Q20" s="28"/>
      <c r="R20" s="29"/>
      <c r="S20" s="1"/>
      <c r="T20" s="28"/>
      <c r="U20" s="29"/>
      <c r="V20" s="1"/>
      <c r="W20" s="28"/>
      <c r="X20" s="29"/>
      <c r="Y20" s="1"/>
      <c r="Z20" s="28"/>
      <c r="AA20" s="29"/>
      <c r="AB20" s="1"/>
      <c r="AC20" s="28"/>
      <c r="AD20" s="29"/>
      <c r="AE20" s="1"/>
      <c r="AF20" s="28"/>
      <c r="AG20" s="29"/>
      <c r="AH20" s="1"/>
      <c r="AI20" s="28"/>
      <c r="AJ20" s="29"/>
      <c r="AK20" s="1"/>
      <c r="AL20" s="28"/>
      <c r="AM20" s="29"/>
      <c r="AO20" s="28"/>
      <c r="AP20" s="29"/>
    </row>
    <row r="21" spans="1:42" x14ac:dyDescent="0.2">
      <c r="A21" s="4" t="s">
        <v>22</v>
      </c>
      <c r="B21" s="38">
        <v>10000</v>
      </c>
      <c r="C21" s="28">
        <v>450000</v>
      </c>
      <c r="D21" s="29">
        <v>150000</v>
      </c>
      <c r="E21" s="27">
        <v>30000</v>
      </c>
      <c r="F21" s="29">
        <v>8000</v>
      </c>
      <c r="G21" s="19">
        <v>3</v>
      </c>
      <c r="H21" s="2"/>
      <c r="J21" s="27">
        <v>1</v>
      </c>
      <c r="K21" s="28">
        <f>J21*((($C$21+$D$21)/$G$21)+$B$21)</f>
        <v>210000</v>
      </c>
      <c r="L21" s="29">
        <f>J21*($E$21+$F$21)/$G$21</f>
        <v>12666.666666666666</v>
      </c>
      <c r="M21" s="1">
        <v>1</v>
      </c>
      <c r="N21" s="28">
        <f>J21*(($C$21+$D$21)/$G$21)+M21*((($C$21+$D$21)/$G$21)+$B$21)</f>
        <v>410000</v>
      </c>
      <c r="O21" s="29">
        <f>L21+M21*($E$21+$F$21)/$G$21</f>
        <v>25333.333333333332</v>
      </c>
      <c r="P21" s="1">
        <v>2</v>
      </c>
      <c r="Q21" s="28">
        <f>J21*(($C$21+$D$21)/$G$21)+M21*(($C$21+$D$21)/$G$21)+P21*((($C$21+$D$21)/$G$21)+$B$21)</f>
        <v>820000</v>
      </c>
      <c r="R21" s="29">
        <f>L21+(M21*($E$21+$F$21)/$G$21)+P21*($E$21+$F$21)/$G$21</f>
        <v>50666.666666666664</v>
      </c>
      <c r="S21" s="1">
        <v>2</v>
      </c>
      <c r="T21" s="28">
        <f>M21*(($C$21+$D$21)/$G$21)+P21*((($C$21+$D$21)/$G$21))+S21*((($C$21+$D$21)/$G$21)+$B$21)</f>
        <v>1020000</v>
      </c>
      <c r="U21" s="29">
        <f>(M21*($E$21+$F$21)/$G$21)+P21*($E$21+$F$21)/$G$21+S21*($E$21+$F$21)/$G$21</f>
        <v>63333.333333333328</v>
      </c>
      <c r="V21" s="1">
        <v>2</v>
      </c>
      <c r="W21" s="28">
        <f>P21*((($C$21+$D$21)/$G$21))+S21*((($C$21+$D$21)/$G$21))+V21*((($C$21+$D$21)/$G$21)+$B$21)</f>
        <v>1220000</v>
      </c>
      <c r="X21" s="29">
        <f>P21*($E$21+$F$21)/$G$21+S21*($E$21+$F$21)/$G$21+V21*($E$21+$F$21)/$G$21</f>
        <v>76000</v>
      </c>
      <c r="Y21" s="1">
        <v>3</v>
      </c>
      <c r="Z21" s="28">
        <f>S21*((($C$21+$D$21)/$G$21))+V21*((($C$21+$D$21)/$G$21))+Y21*((($C$21+$D$21)/$G$21)+$B$21)</f>
        <v>1430000</v>
      </c>
      <c r="AA21" s="29">
        <f>S21*($E$21+$F$21)/$G$21+V21*($E$21+$F$21)/$G$21+Y21*($E$21+$F$21)/$G$21</f>
        <v>88666.666666666657</v>
      </c>
      <c r="AB21" s="1">
        <v>4</v>
      </c>
      <c r="AC21" s="28">
        <f>V21*((($C$21+$D$21)/$G$21))+Y21*((($C$21+$D$21)/$G$21))+AB21*((($C$21+$D$21)/$G$21)+$B$21)</f>
        <v>1840000</v>
      </c>
      <c r="AD21" s="29">
        <f>V21*($E$21+$F$21)/$G$21+Y21*($E$21+$F$21)/$G$21+AB21*($E$21+$F$21)/$G$21</f>
        <v>114000</v>
      </c>
      <c r="AE21" s="1">
        <v>4</v>
      </c>
      <c r="AF21" s="28">
        <f>Y21*((($C$21+$D$21)/$G$21))+AB21*((($C$21+$D$21)/$G$21))+AE21*((($C$21+$D$21)/$G$21)+$B$21)</f>
        <v>2240000</v>
      </c>
      <c r="AG21" s="29">
        <f>Y21*($E$21+$F$21)/$G$21+AB21*($E$21+$F$21)/$G$21+AE21*($E$21+$F$21)/$G$21</f>
        <v>139333.33333333331</v>
      </c>
      <c r="AH21" s="1">
        <v>5</v>
      </c>
      <c r="AI21" s="28">
        <f>AB21*((($C$21+$D$21)/$G$21))+AE21*((($C$21+$D$21)/$G$21))+AH21*((($C$21+$D$21)/$G$21)+$B$21)</f>
        <v>2650000</v>
      </c>
      <c r="AJ21" s="29">
        <f>AB21*($E$21+$F$21)/$G$21+AE21*($E$21+$F$21)/$G$21+AH21*($E$21+$F$21)/$G$21</f>
        <v>164666.66666666666</v>
      </c>
      <c r="AK21" s="1">
        <v>5</v>
      </c>
      <c r="AL21" s="28">
        <f>AE21*((($C$21+$D$21)/$G$21))+AH21*((($C$21+$D$21)/$G$21))+AK21*((($C$21+$D$21)/$G$21)+$B$21)</f>
        <v>2850000</v>
      </c>
      <c r="AM21" s="29">
        <f>AE21*($E$21+$F$21)/$G$21+AH21*($E$21+$F$21)/$G$21+AK21*($E$21+$F$21)/$G$21</f>
        <v>177333.33333333334</v>
      </c>
      <c r="AN21">
        <v>6</v>
      </c>
      <c r="AO21" s="28">
        <f>AH21*((($C$21+$D$21)/$G$21))+AK21*((($C$21+$D$21)/$G$21))+AN21*((($C$21+$D$21)/$G$21)+$B$21)</f>
        <v>3260000</v>
      </c>
      <c r="AP21" s="29">
        <f>AH21*($E$21+$F$21)/$G$21+AK21*($E$21+$F$21)/$G$21+AN21*($E$21+$F$21)/$G$21</f>
        <v>202666.66666666669</v>
      </c>
    </row>
    <row r="22" spans="1:42" x14ac:dyDescent="0.2">
      <c r="A22" s="4" t="s">
        <v>23</v>
      </c>
      <c r="B22" s="38">
        <v>25000</v>
      </c>
      <c r="C22" s="28">
        <v>700000</v>
      </c>
      <c r="D22" s="29">
        <v>250000</v>
      </c>
      <c r="E22" s="27">
        <v>30000</v>
      </c>
      <c r="F22" s="29">
        <v>8000</v>
      </c>
      <c r="G22" s="19">
        <v>3</v>
      </c>
      <c r="H22" s="2"/>
      <c r="J22" s="27">
        <v>1</v>
      </c>
      <c r="K22" s="28">
        <f>J22*((($C$22+$D$22)/$G$22)+$B$22)</f>
        <v>341666.66666666669</v>
      </c>
      <c r="L22" s="29">
        <f>J22*($E$22+$F$22)/$G$22</f>
        <v>12666.666666666666</v>
      </c>
      <c r="M22" s="1">
        <v>1</v>
      </c>
      <c r="N22" s="28">
        <f>J22*(($C$22+$D$22)/$G$22)+M22*((($C$22+$D$22)/$G$22)+$B$22)</f>
        <v>658333.33333333337</v>
      </c>
      <c r="O22" s="29">
        <f>L22+(M22*($E$22+$F$22)/$G$22)</f>
        <v>25333.333333333332</v>
      </c>
      <c r="P22" s="1">
        <v>1</v>
      </c>
      <c r="Q22" s="28">
        <f>J22*(($C$22+$D$22)/$G$22)+M22*(($C$22+$D$22)/$G$22)+P22*((($C$22+$D$22)/$G$22)+$B$22)</f>
        <v>975000</v>
      </c>
      <c r="R22" s="29">
        <f>L22+(M22*($E$22+$F$22)/$G$22)+P22*($E$22+$F$22)/$G$22</f>
        <v>38000</v>
      </c>
      <c r="S22" s="1">
        <v>2</v>
      </c>
      <c r="T22" s="28">
        <f>M22*(($C$22+$D$22)/$G$22)+P22*((($C$22+$D$22)/$G$22))+S22*((($C$22+$D$22)/$G$22)+$B$22)</f>
        <v>1316666.6666666667</v>
      </c>
      <c r="U22" s="29">
        <f>(M22*($E$22+$F$22)/$G$22)+P22*($E$22+$F$22)/$G$22+S22*($E$22+$F$22)/$G$22</f>
        <v>50666.666666666664</v>
      </c>
      <c r="V22" s="1">
        <v>3</v>
      </c>
      <c r="W22" s="28">
        <f>P22*((($C$22+$D$22)/$G$22))+S22*((($C$22+$D$22)/$G$22))+V22*((($C$22+$D$22)/$G$22)+$B$22)</f>
        <v>1975000</v>
      </c>
      <c r="X22" s="29">
        <f>P22*($E$22+$F$22)/$G$22+S22*($E$22+$F$22)/$G$22+V22*($E$22+$F$22)/$G$22</f>
        <v>76000</v>
      </c>
      <c r="Y22" s="1">
        <v>3</v>
      </c>
      <c r="Z22" s="28">
        <f>S22*((($C$22+$D$22)/$G$22))+V22*((($C$22+$D$22)/$G$22))+Y22*((($C$22+$D$22)/$G$22)+$B$22)</f>
        <v>2608333.3333333335</v>
      </c>
      <c r="AA22" s="29">
        <f>S22*($E$22+$F$22)/$G$22+V22*($E$22+$F$22)/$G$22+Y22*($E$22+$F$22)/$G$22</f>
        <v>101333.33333333333</v>
      </c>
      <c r="AB22" s="1">
        <v>3</v>
      </c>
      <c r="AC22" s="28">
        <f>V22*((($C$22+$D$22)/$G$22))+Y22*((($C$22+$D$22)/$G$22))+AB22*((($C$22+$D$22)/$G$22)+$B$22)</f>
        <v>2925000</v>
      </c>
      <c r="AD22" s="29">
        <f>V22*($E$22+$F$22)/$G$22+Y22*($E$22+$F$22)/$G$22+AB22*($E$22+$F$22)/$G$22</f>
        <v>114000</v>
      </c>
      <c r="AE22" s="1">
        <v>4</v>
      </c>
      <c r="AF22" s="28">
        <f>Y22*((($C$22+$D$22)/$G$22))+AB22*((($C$22+$D$22)/$G$22))+AE22*((($C$22+$D$22)/$G$22)+$B$22)</f>
        <v>3266666.666666667</v>
      </c>
      <c r="AG22" s="29">
        <f>Y22*($E$22+$F$22)/$G$22+AB22*($E$22+$F$22)/$G$22+AE22*($E$22+$F$22)/$G$22</f>
        <v>126666.66666666666</v>
      </c>
      <c r="AH22" s="1">
        <v>4</v>
      </c>
      <c r="AI22" s="28">
        <f>AB22*((($C$22+$D$22)/$G$22))+AE22*((($C$22+$D$22)/$G$22))+AH22*((($C$22+$D$22)/$G$22)+$B$22)</f>
        <v>3583333.333333334</v>
      </c>
      <c r="AJ22" s="29">
        <f>AB22*($E$22+$F$22)/$G$22+AE22*($E$22+$F$22)/$G$22+AH22*($E$22+$F$22)/$G$22</f>
        <v>139333.33333333331</v>
      </c>
      <c r="AK22" s="1">
        <v>5</v>
      </c>
      <c r="AL22" s="28">
        <f>AE22*((($C$22+$D$22)/$G$22))+AH22*((($C$22+$D$22)/$G$22))+AK22*((($C$22+$D$22)/$G$22)+$B$22)</f>
        <v>4241666.666666667</v>
      </c>
      <c r="AM22" s="29">
        <f>AE22*($E$22+$F$22)/$G$22+AH22*($E$22+$F$22)/$G$22+AK22*($E$22+$F$22)/$G$22</f>
        <v>164666.66666666666</v>
      </c>
      <c r="AN22">
        <v>5</v>
      </c>
      <c r="AO22" s="28">
        <f>AH22*((($C$22+$D$22)/$G$22))+AK22*((($C$22+$D$22)/$G$22))+AN22*((($C$22+$D$22)/$G$22)+$B$22)</f>
        <v>4558333.333333334</v>
      </c>
      <c r="AP22" s="29">
        <f>AH22*($E$22+$F$22)/$G$22+AK22*($E$22+$F$22)/$G$22+AN22*($E$22+$F$22)/$G$22</f>
        <v>177333.33333333334</v>
      </c>
    </row>
    <row r="23" spans="1:42" x14ac:dyDescent="0.2">
      <c r="A23" s="4" t="s">
        <v>24</v>
      </c>
      <c r="B23" s="38">
        <v>2500</v>
      </c>
      <c r="D23" s="29"/>
      <c r="E23" s="27"/>
      <c r="F23" s="29"/>
      <c r="H23" s="2"/>
      <c r="J23" s="27"/>
      <c r="L23" s="29"/>
      <c r="M23" s="1"/>
      <c r="N23" s="28"/>
      <c r="O23" s="29"/>
      <c r="P23" s="1"/>
      <c r="Q23" s="28"/>
      <c r="R23" s="29"/>
      <c r="S23" s="1"/>
      <c r="T23" s="28"/>
      <c r="U23" s="29"/>
      <c r="V23" s="1"/>
      <c r="W23" s="28"/>
      <c r="X23" s="29"/>
      <c r="Y23" s="1"/>
      <c r="Z23" s="28"/>
      <c r="AA23" s="29"/>
      <c r="AB23" s="1"/>
      <c r="AC23" s="28"/>
      <c r="AD23" s="29"/>
      <c r="AE23" s="1"/>
      <c r="AF23" s="28"/>
      <c r="AG23" s="29"/>
      <c r="AH23" s="1"/>
      <c r="AI23" s="28"/>
      <c r="AJ23" s="29"/>
      <c r="AK23" s="1"/>
      <c r="AL23" s="28"/>
      <c r="AM23" s="29"/>
      <c r="AO23" s="28"/>
      <c r="AP23" s="29"/>
    </row>
    <row r="24" spans="1:42" x14ac:dyDescent="0.2">
      <c r="A24" s="3" t="s">
        <v>29</v>
      </c>
      <c r="B24" s="27"/>
      <c r="D24" s="29"/>
      <c r="E24" s="27"/>
      <c r="F24" s="29"/>
      <c r="H24" s="2"/>
      <c r="J24" s="27"/>
      <c r="L24" s="29"/>
      <c r="M24" s="1"/>
      <c r="N24" s="28"/>
      <c r="O24" s="29"/>
      <c r="P24" s="1"/>
      <c r="Q24" s="28"/>
      <c r="R24" s="29"/>
      <c r="S24" s="1"/>
      <c r="T24" s="28"/>
      <c r="U24" s="29"/>
      <c r="V24" s="1"/>
      <c r="W24" s="28"/>
      <c r="X24" s="29"/>
      <c r="Y24" s="1"/>
      <c r="Z24" s="28"/>
      <c r="AA24" s="29"/>
      <c r="AB24" s="1"/>
      <c r="AC24" s="28"/>
      <c r="AD24" s="29"/>
      <c r="AE24" s="1"/>
      <c r="AF24" s="28"/>
      <c r="AG24" s="29"/>
      <c r="AH24" s="1"/>
      <c r="AI24" s="28"/>
      <c r="AJ24" s="29"/>
      <c r="AK24" s="1"/>
      <c r="AL24" s="28"/>
      <c r="AM24" s="29"/>
      <c r="AO24" s="28"/>
      <c r="AP24" s="29"/>
    </row>
    <row r="25" spans="1:42" x14ac:dyDescent="0.2">
      <c r="A25" s="4" t="s">
        <v>22</v>
      </c>
      <c r="B25" s="38">
        <v>12500</v>
      </c>
      <c r="C25" s="28">
        <v>750000</v>
      </c>
      <c r="D25" s="29">
        <v>300000</v>
      </c>
      <c r="E25" s="27">
        <v>45000</v>
      </c>
      <c r="F25" s="29">
        <v>12000</v>
      </c>
      <c r="G25" s="19">
        <v>4</v>
      </c>
      <c r="H25" s="2"/>
      <c r="J25" s="27">
        <v>0</v>
      </c>
      <c r="K25" s="28">
        <f>J25*((($C$25+$D$25)/$G$25)+$B$25)</f>
        <v>0</v>
      </c>
      <c r="L25" s="29">
        <f>J25*($E$25+$F$25)/$G$25</f>
        <v>0</v>
      </c>
      <c r="M25" s="1">
        <v>1</v>
      </c>
      <c r="N25" s="28">
        <f>J25*(($C$25+$D$25)/$G$25)+M25*((($C$25+$D$25)/$G$25)+$B$25)</f>
        <v>275000</v>
      </c>
      <c r="O25" s="29">
        <f>L25+M25*($E$25+$F$25)/$G$25</f>
        <v>14250</v>
      </c>
      <c r="P25" s="1">
        <v>1</v>
      </c>
      <c r="Q25" s="28">
        <f>J25*(($C$25+$D$25)/$G$25)+M25*(($C$25+$D$25)/$G$25)+P25*((($C$25+$D$25)/$G$25)+$B$25)</f>
        <v>537500</v>
      </c>
      <c r="R25" s="29">
        <f>L25+(M25*($E$25+$F$25)/$G$25)+P25*($E$25+$F$25)/$G$25</f>
        <v>28500</v>
      </c>
      <c r="S25" s="1">
        <v>2</v>
      </c>
      <c r="T25" s="28">
        <f>J25*(($C$25+$D$25)/$G$25)+M25*(($C$25+$D$25)/$G$25)+P25*((($C$25+$D$25)/$G$25))+S25*((($C$25+$D$25)/$G$25)+$B$25)</f>
        <v>1075000</v>
      </c>
      <c r="U25" s="29">
        <f>S25*($E$25+$F$25)/$G$25</f>
        <v>28500</v>
      </c>
      <c r="V25" s="1">
        <v>2</v>
      </c>
      <c r="W25" s="28">
        <f>M25*(($C$25+$D$25)/$G$25)+P25*((($C$25+$D$25)/$G$25))+S25*((($C$25+$D$25)/$G$25))+V25*((($C$25+$D$25)/$G$25)+$B$25)</f>
        <v>1600000</v>
      </c>
      <c r="X25" s="29">
        <f>V25*($E$25+$F$25)/$G$25</f>
        <v>28500</v>
      </c>
      <c r="Y25" s="1">
        <v>2</v>
      </c>
      <c r="Z25" s="28">
        <f>P25*((($C$25+$D$25)/$G$25))+S25*((($C$25+$D$25)/$G$25))+V25*((($C$25+$D$25)/$G$25))+Y25*((($C$25+$D$25)/$G$25)+$B$25)</f>
        <v>1862500</v>
      </c>
      <c r="AA25" s="29">
        <f>Y25*($E$25+$F$25)/$G$25</f>
        <v>28500</v>
      </c>
      <c r="AB25" s="1">
        <v>3</v>
      </c>
      <c r="AC25" s="28">
        <f>S25*((($C$25+$D$25)/$G$25))+V25*((($C$25+$D$25)/$G$25))+Y25*((($C$25+$D$25)/$G$25))+AB25*((($C$25+$D$25)/$G$25)+$B$25)</f>
        <v>2400000</v>
      </c>
      <c r="AD25" s="29">
        <f>AB25*($E$25+$F$25)/$G$25</f>
        <v>42750</v>
      </c>
      <c r="AE25" s="1">
        <v>3</v>
      </c>
      <c r="AF25" s="28">
        <f>V25*((($C$25+$D$25)/$G$25))+Y25*((($C$25+$D$25)/$G$25))+AB25*((($C$25+$D$25)/$G$25))+AE25*((($C$25+$D$25)/$G$25)+$B$25)</f>
        <v>2662500</v>
      </c>
      <c r="AG25" s="29">
        <f>AE25*($E$25+$F$25)/$G$25</f>
        <v>42750</v>
      </c>
      <c r="AH25" s="1">
        <v>4</v>
      </c>
      <c r="AI25" s="28">
        <f>Y25*((($C$25+$D$25)/$G$25))+AB25*((($C$25+$D$25)/$G$25))+AE25*((($C$25+$D$25)/$G$25))+AH25*((($C$25+$D$25)/$G$25)+$B$25)</f>
        <v>3200000</v>
      </c>
      <c r="AJ25" s="29">
        <f>AH25*($E$25+$F$25)/$G$25</f>
        <v>57000</v>
      </c>
      <c r="AK25" s="1">
        <v>5</v>
      </c>
      <c r="AL25" s="28">
        <f>AB25*((($C$25+$D$25)/$G$25))+AE25*((($C$25+$D$25)/$G$25))+AH25*((($C$25+$D$25)/$G$25))+AK25*((($C$25+$D$25)/$G$25)+$B$25)</f>
        <v>4000000</v>
      </c>
      <c r="AM25" s="29">
        <f>AK25*($E$25+$F$25)/$G$25</f>
        <v>71250</v>
      </c>
      <c r="AN25">
        <v>5</v>
      </c>
      <c r="AO25" s="28">
        <f>AE25*((($C$25+$D$25)/$G$25))+AH25*((($C$25+$D$25)/$G$25))+AK25*((($C$25+$D$25)/$G$25))+AN25*((($C$25+$D$25)/$G$25)+$B$25)</f>
        <v>4525000</v>
      </c>
      <c r="AP25" s="29">
        <f>AN25*($E$25+$F$25)/$G$25</f>
        <v>71250</v>
      </c>
    </row>
    <row r="26" spans="1:42" x14ac:dyDescent="0.2">
      <c r="A26" s="4" t="s">
        <v>23</v>
      </c>
      <c r="B26" s="38">
        <v>30000</v>
      </c>
      <c r="C26" s="28">
        <v>1050000</v>
      </c>
      <c r="D26" s="29">
        <v>650000</v>
      </c>
      <c r="E26" s="27">
        <v>45000</v>
      </c>
      <c r="F26" s="29">
        <v>12000</v>
      </c>
      <c r="G26" s="19">
        <v>4</v>
      </c>
      <c r="H26" s="2"/>
      <c r="J26" s="27">
        <v>1</v>
      </c>
      <c r="K26" s="28">
        <f>J26*((($C$26+$D$26)/$G$26)+$B$26)</f>
        <v>455000</v>
      </c>
      <c r="L26" s="29">
        <f>J26*($E$26+$F$26)/$G$26</f>
        <v>14250</v>
      </c>
      <c r="M26" s="1">
        <v>1</v>
      </c>
      <c r="N26" s="28">
        <f>J26*(($C$26+$D$26)/$G$26)+M26*((($C$26+$D$26)/$G$26)+$B$26)</f>
        <v>880000</v>
      </c>
      <c r="O26" s="29">
        <f>L26+M26*($E$26+$F$26)/$G$26</f>
        <v>28500</v>
      </c>
      <c r="P26" s="1">
        <v>2</v>
      </c>
      <c r="Q26" s="28">
        <f>J26*(($C$26+$D$26)/$G$26)+M26*(($C$26+$D$26)/$G$26)+P26*((($C$26+$D$26)/$G$26)+$B$26)</f>
        <v>1760000</v>
      </c>
      <c r="R26" s="29">
        <f>L26+(M26*($E$26+$F$26)/$G$26)+P26*($E$26+$F$26)/$G$26</f>
        <v>57000</v>
      </c>
      <c r="S26" s="1">
        <v>2</v>
      </c>
      <c r="T26" s="28">
        <f>J26*(($C$26+$D$26)/$G$26)+M26*(($C$26+$D$26)/$G$26)+P26*((($C$26+$D$26)/$G$26))+S26*((($C$26+$D$26)/$G$26)+$B$26)</f>
        <v>2610000</v>
      </c>
      <c r="U26" s="29">
        <f>L26+(M26*($E$26+$F$26)/$G$26)+P26*($E$26+$F$26)/$G$26+S26*($E$26+$F$26)/$G$26</f>
        <v>85500</v>
      </c>
      <c r="V26" s="1">
        <v>2</v>
      </c>
      <c r="W26" s="28">
        <f>M26*(($C$26+$D$26)/$G$26)+P26*((($C$26+$D$26)/$G$26))+S26*((($C$26+$D$26)/$G$26))+V26*((($C$26+$D$26)/$G$26)+$B$26)</f>
        <v>3035000</v>
      </c>
      <c r="X26" s="29">
        <f>(M26*($E$26+$F$26)/$G$26)+P26*($E$26+$F$26)/$G$26+S26*($E$26+$F$26)/$G$26+V26*($E$26+$F$26)/$G$26</f>
        <v>99750</v>
      </c>
      <c r="Y26" s="1">
        <v>3</v>
      </c>
      <c r="Z26" s="28">
        <f>P26*((($C$26+$D$26)/$G$26))+S26*((($C$26+$D$26)/$G$26))+V26*((($C$26+$D$26)/$G$26))+Y26*((($C$26+$D$26)/$G$26)+$B$26)</f>
        <v>3915000</v>
      </c>
      <c r="AA26" s="29">
        <f>P26*($E$26+$F$26)/$G$26+S26*($E$26+$F$26)/$G$26+V26*($E$26+$F$26)/$G$26+Y26*($E$26+$F$26)/$G$26</f>
        <v>128250</v>
      </c>
      <c r="AB26" s="1">
        <v>3</v>
      </c>
      <c r="AC26" s="28">
        <f>S26*((($C$26+$D$26)/$G$26))+V26*((($C$26+$D$26)/$G$26))+Y26*((($C$26+$D$26)/$G$26)+$B$26)+AB26*((($C$26+$D$26)/$G$26)+$B$26)</f>
        <v>4430000</v>
      </c>
      <c r="AD26" s="29">
        <f>S26*($E$26+$F$26)/$G$26+V26*($E$26+$F$26)/$G$26+Y26*($E$26+$F$26)/$G$26+AB26*($E$26+$F$26)/$G$26</f>
        <v>142500</v>
      </c>
      <c r="AE26" s="1">
        <v>4</v>
      </c>
      <c r="AF26" s="28">
        <f>V26*((($C$26+$D$26)/$G$26))+Y26*((($C$26+$D$26)/$G$26)+$B$26)+AB26*((($C$26+$D$26)/$G$26))+AE26*((($C$26+$D$26)/$G$26)+$B$26)</f>
        <v>5310000</v>
      </c>
      <c r="AG26" s="29">
        <f>V26*($E$26+$F$26)/$G$26+Y26*($E$26+$F$26)/$G$26+AB26*($E$26+$F$26)/$G$26+AE26*($E$26+$F$26)/$G$26</f>
        <v>171000</v>
      </c>
      <c r="AH26" s="1">
        <v>4</v>
      </c>
      <c r="AI26" s="28">
        <f>Y26*((($C$26+$D$26)/$G$26)+$B$26)+AB26*((($C$26+$D$26)/$G$26))+AE26*((($C$26+$D$26)/$G$26))+AH26*((($C$26+$D$26)/$G$26)+$B$26)</f>
        <v>6160000</v>
      </c>
      <c r="AJ26" s="29">
        <f>Y26*($E$26+$F$26)/$G$26+AB26*($E$26+$F$26)/$G$26+AE26*($E$26+$F$26)/$G$26+AH26*($E$26+$F$26)/$G$26</f>
        <v>199500</v>
      </c>
      <c r="AK26" s="1">
        <v>4</v>
      </c>
      <c r="AL26" s="28">
        <f>AB26*((($C$26+$D$26)/$G$26))+AE26*((($C$26+$D$26)/$G$26))+AH26*((($C$26+$D$26)/$G$26))+AK26*((($C$26+$D$26)/$G$26)+$B$26)</f>
        <v>6495000</v>
      </c>
      <c r="AM26" s="29">
        <f>AB26*($E$26+$F$26)/$G$26+AE26*($E$26+$F$26)/$G$26+AH26*($E$26+$F$26)/$G$26+AK26*($E$26+$F$26)/$G$26</f>
        <v>213750</v>
      </c>
      <c r="AN26">
        <v>5</v>
      </c>
      <c r="AO26" s="28">
        <f>AE26*((($C$26+$D$26)/$G$26))+AH26*((($C$26+$D$26)/$G$26))+AK26*((($C$26+$D$26)/$G$26))+AN26*((($C$26+$D$26)/$G$26)+$B$26)</f>
        <v>7375000</v>
      </c>
      <c r="AP26" s="29">
        <f>AE26*($E$26+$F$26)/$G$26+AH26*($E$26+$F$26)/$G$26+AK26*($E$26+$F$26)/$G$26+AN26*($E$26+$F$26)/$G$26</f>
        <v>242250</v>
      </c>
    </row>
    <row r="27" spans="1:42" x14ac:dyDescent="0.2">
      <c r="A27" s="4" t="s">
        <v>24</v>
      </c>
      <c r="B27" s="38">
        <v>3000</v>
      </c>
      <c r="D27" s="29"/>
      <c r="E27" s="27"/>
      <c r="F27" s="29"/>
      <c r="H27" s="2"/>
      <c r="J27" s="27"/>
      <c r="L27" s="29"/>
      <c r="M27" s="1"/>
      <c r="N27" s="28"/>
      <c r="O27" s="29"/>
      <c r="P27" s="1"/>
      <c r="Q27" s="28"/>
      <c r="R27" s="29"/>
      <c r="S27" s="1"/>
      <c r="T27" s="28"/>
      <c r="U27" s="29"/>
      <c r="V27" s="1"/>
      <c r="W27" s="28"/>
      <c r="X27" s="29"/>
      <c r="Y27" s="1"/>
      <c r="Z27" s="28"/>
      <c r="AA27" s="29"/>
      <c r="AB27" s="1"/>
      <c r="AC27" s="28"/>
      <c r="AD27" s="29"/>
      <c r="AE27" s="1"/>
      <c r="AF27" s="28"/>
      <c r="AG27" s="29"/>
      <c r="AH27" s="1"/>
      <c r="AI27" s="28"/>
      <c r="AJ27" s="29"/>
      <c r="AK27" s="1"/>
      <c r="AL27" s="28"/>
      <c r="AM27" s="29"/>
      <c r="AO27" s="28"/>
      <c r="AP27" s="29"/>
    </row>
    <row r="28" spans="1:42" x14ac:dyDescent="0.2">
      <c r="A28" s="12" t="s">
        <v>30</v>
      </c>
      <c r="B28" s="13"/>
      <c r="C28" s="13"/>
      <c r="D28" s="13"/>
      <c r="E28" s="13"/>
      <c r="F28" s="13"/>
      <c r="G28" s="13"/>
      <c r="H28" s="14"/>
      <c r="J28" s="27"/>
      <c r="L28" s="29"/>
      <c r="M28" s="1"/>
      <c r="N28" s="28"/>
      <c r="O28" s="29"/>
      <c r="P28" s="1"/>
      <c r="Q28" s="28"/>
      <c r="R28" s="29"/>
      <c r="S28" s="1"/>
      <c r="T28" s="28"/>
      <c r="U28" s="29"/>
      <c r="V28" s="1"/>
      <c r="W28" s="28"/>
      <c r="X28" s="29"/>
      <c r="Y28" s="1"/>
      <c r="Z28" s="28"/>
      <c r="AA28" s="29"/>
      <c r="AB28" s="1"/>
      <c r="AC28" s="28"/>
      <c r="AD28" s="29"/>
      <c r="AE28" s="1"/>
      <c r="AF28" s="28"/>
      <c r="AG28" s="29"/>
      <c r="AH28" s="1"/>
      <c r="AI28" s="28"/>
      <c r="AJ28" s="29"/>
      <c r="AK28" s="1"/>
      <c r="AL28" s="28"/>
      <c r="AM28" s="29"/>
      <c r="AO28" s="28"/>
      <c r="AP28" s="29"/>
    </row>
    <row r="29" spans="1:42" x14ac:dyDescent="0.2">
      <c r="A29" s="3" t="s">
        <v>31</v>
      </c>
      <c r="B29" s="38">
        <v>500</v>
      </c>
      <c r="C29" s="28">
        <v>15000</v>
      </c>
      <c r="D29" s="29"/>
      <c r="E29" s="27">
        <v>2000</v>
      </c>
      <c r="F29" s="29"/>
      <c r="G29" s="21">
        <v>0.5</v>
      </c>
      <c r="H29" s="2"/>
      <c r="J29" s="27">
        <v>3</v>
      </c>
      <c r="K29" s="28">
        <f>J29*($C$29+$D$29)</f>
        <v>45000</v>
      </c>
      <c r="L29" s="29">
        <f>J29*$E$29</f>
        <v>6000</v>
      </c>
      <c r="M29" s="1">
        <v>5</v>
      </c>
      <c r="N29" s="28">
        <f>M29*($C$29+$D$29)</f>
        <v>75000</v>
      </c>
      <c r="O29" s="29">
        <f>M29*$E$29</f>
        <v>10000</v>
      </c>
      <c r="P29" s="1">
        <v>15</v>
      </c>
      <c r="Q29" s="28">
        <f>P29*($C$29+$D$29)</f>
        <v>225000</v>
      </c>
      <c r="R29" s="29">
        <f>P29*$E$29</f>
        <v>30000</v>
      </c>
      <c r="S29" s="1">
        <v>25</v>
      </c>
      <c r="T29" s="28">
        <f>S29*($C$29+$D$29)</f>
        <v>375000</v>
      </c>
      <c r="U29" s="29">
        <f>S29*$E$29</f>
        <v>50000</v>
      </c>
      <c r="V29" s="1">
        <v>35</v>
      </c>
      <c r="W29" s="28">
        <f>V29*($C$29+$D$29)</f>
        <v>525000</v>
      </c>
      <c r="X29" s="29">
        <f>V29*$E$29</f>
        <v>70000</v>
      </c>
      <c r="Y29" s="1">
        <v>45</v>
      </c>
      <c r="Z29" s="28">
        <f>Y29*($C$29+$D$29)</f>
        <v>675000</v>
      </c>
      <c r="AA29" s="29">
        <f>Y29*$E$29</f>
        <v>90000</v>
      </c>
      <c r="AB29" s="1">
        <v>60</v>
      </c>
      <c r="AC29" s="28">
        <f>AB29*($C$29+$D$29)</f>
        <v>900000</v>
      </c>
      <c r="AD29" s="29">
        <f>AB29*$E$29</f>
        <v>120000</v>
      </c>
      <c r="AE29" s="1">
        <v>70</v>
      </c>
      <c r="AF29" s="28">
        <f>AE29*($C$29+$D$29)</f>
        <v>1050000</v>
      </c>
      <c r="AG29" s="29">
        <f>AE29*$E$29</f>
        <v>140000</v>
      </c>
      <c r="AH29" s="1">
        <v>75</v>
      </c>
      <c r="AI29" s="28">
        <f>AH29*($C$29+$D$29)</f>
        <v>1125000</v>
      </c>
      <c r="AJ29" s="29">
        <f>AH29*$E$29</f>
        <v>150000</v>
      </c>
      <c r="AK29" s="1">
        <v>85</v>
      </c>
      <c r="AL29" s="28">
        <f>AK29*($C$29+$D$29)</f>
        <v>1275000</v>
      </c>
      <c r="AM29" s="29">
        <f>AK29*$E$29</f>
        <v>170000</v>
      </c>
      <c r="AN29">
        <v>100</v>
      </c>
      <c r="AO29" s="28">
        <f>AN29*($C$29+$D$29)</f>
        <v>1500000</v>
      </c>
      <c r="AP29" s="29">
        <f>AN29*$E$29</f>
        <v>200000</v>
      </c>
    </row>
    <row r="30" spans="1:42" x14ac:dyDescent="0.2">
      <c r="A30" s="3" t="s">
        <v>32</v>
      </c>
      <c r="B30" s="38">
        <v>2500</v>
      </c>
      <c r="C30" s="28">
        <v>50000</v>
      </c>
      <c r="D30" s="29"/>
      <c r="E30" s="27">
        <v>5000</v>
      </c>
      <c r="F30" s="29"/>
      <c r="G30" s="21">
        <v>1</v>
      </c>
      <c r="H30" s="2"/>
      <c r="J30" s="27">
        <v>2</v>
      </c>
      <c r="K30" s="28">
        <f>J30*($C$30+$D$30)</f>
        <v>100000</v>
      </c>
      <c r="L30" s="29">
        <f>J30*$E$30</f>
        <v>10000</v>
      </c>
      <c r="M30" s="1">
        <v>5</v>
      </c>
      <c r="N30" s="28">
        <f>M30*($C$30+$D$30)</f>
        <v>250000</v>
      </c>
      <c r="O30" s="29">
        <f>M30*$E$30</f>
        <v>25000</v>
      </c>
      <c r="P30" s="1">
        <v>10</v>
      </c>
      <c r="Q30" s="28">
        <f>P30*($C$30+$D$30)</f>
        <v>500000</v>
      </c>
      <c r="R30" s="29">
        <f>P30*$E$30</f>
        <v>50000</v>
      </c>
      <c r="S30" s="1">
        <v>15</v>
      </c>
      <c r="T30" s="28">
        <f>S30*($C$30+$D$30)</f>
        <v>750000</v>
      </c>
      <c r="U30" s="29">
        <f>S30*$E$30</f>
        <v>75000</v>
      </c>
      <c r="V30" s="1">
        <v>20</v>
      </c>
      <c r="W30" s="28">
        <f>V30*($C$30+$D$30)</f>
        <v>1000000</v>
      </c>
      <c r="X30" s="29">
        <f>V30*$E$30</f>
        <v>100000</v>
      </c>
      <c r="Y30" s="1">
        <v>20</v>
      </c>
      <c r="Z30" s="28">
        <f>Y30*($C$30+$D$30)</f>
        <v>1000000</v>
      </c>
      <c r="AA30" s="29">
        <f>Y30*$E$30</f>
        <v>100000</v>
      </c>
      <c r="AB30" s="1">
        <v>25</v>
      </c>
      <c r="AC30" s="28">
        <f>AB30*($C$30+$D$30)</f>
        <v>1250000</v>
      </c>
      <c r="AD30" s="29">
        <f>AB30*$E$30</f>
        <v>125000</v>
      </c>
      <c r="AE30" s="1">
        <v>25</v>
      </c>
      <c r="AF30" s="28">
        <f>AE30*($C$30+$D$30)</f>
        <v>1250000</v>
      </c>
      <c r="AG30" s="29">
        <f>AE30*$E$30</f>
        <v>125000</v>
      </c>
      <c r="AH30" s="1">
        <v>25</v>
      </c>
      <c r="AI30" s="28">
        <f>AH30*($C$30+$D$30)</f>
        <v>1250000</v>
      </c>
      <c r="AJ30" s="29">
        <f>AH30*$E$30</f>
        <v>125000</v>
      </c>
      <c r="AK30" s="1">
        <v>30</v>
      </c>
      <c r="AL30" s="28">
        <f>AK30*($C$30+$D$30)</f>
        <v>1500000</v>
      </c>
      <c r="AM30" s="29">
        <f>AK30*$E$30</f>
        <v>150000</v>
      </c>
      <c r="AN30">
        <v>35</v>
      </c>
      <c r="AO30" s="28">
        <f>AN30*($C$30+$D$30)</f>
        <v>1750000</v>
      </c>
      <c r="AP30" s="29">
        <f>AN30*$E$30</f>
        <v>175000</v>
      </c>
    </row>
    <row r="31" spans="1:42" x14ac:dyDescent="0.2">
      <c r="A31" s="3" t="s">
        <v>33</v>
      </c>
      <c r="B31" s="38">
        <v>3000</v>
      </c>
      <c r="C31" s="28">
        <v>100000</v>
      </c>
      <c r="D31" s="29"/>
      <c r="E31" s="27">
        <v>10000</v>
      </c>
      <c r="F31" s="29"/>
      <c r="G31" s="21">
        <v>1</v>
      </c>
      <c r="H31" s="2"/>
      <c r="J31" s="27">
        <v>1</v>
      </c>
      <c r="K31" s="28">
        <f>J31*($C$31+$D$31)</f>
        <v>100000</v>
      </c>
      <c r="L31" s="29">
        <f>J31*$E$31</f>
        <v>10000</v>
      </c>
      <c r="M31" s="1">
        <v>3</v>
      </c>
      <c r="N31" s="28">
        <f>M31*($C$31+$D$31)</f>
        <v>300000</v>
      </c>
      <c r="O31" s="29">
        <f>M31*$E$31</f>
        <v>30000</v>
      </c>
      <c r="P31" s="1">
        <v>5</v>
      </c>
      <c r="Q31" s="28">
        <f>P31*($C$31+$D$31)</f>
        <v>500000</v>
      </c>
      <c r="R31" s="29">
        <f>P31*$E$31</f>
        <v>50000</v>
      </c>
      <c r="S31" s="1">
        <v>7</v>
      </c>
      <c r="T31" s="28">
        <f>S31*($C$31+$D$31)</f>
        <v>700000</v>
      </c>
      <c r="U31" s="29">
        <f>S31*$E$31</f>
        <v>70000</v>
      </c>
      <c r="V31" s="1">
        <v>7</v>
      </c>
      <c r="W31" s="28">
        <f>V31*($C$31+$D$31)</f>
        <v>700000</v>
      </c>
      <c r="X31" s="29">
        <f>V31*$E$31</f>
        <v>70000</v>
      </c>
      <c r="Y31" s="1">
        <v>8</v>
      </c>
      <c r="Z31" s="28">
        <f>Y31*($C$31+$D$31)</f>
        <v>800000</v>
      </c>
      <c r="AA31" s="29">
        <f>Y31*$E$31</f>
        <v>80000</v>
      </c>
      <c r="AB31" s="1">
        <v>10</v>
      </c>
      <c r="AC31" s="28">
        <f>AB31*($C$31+$D$31)</f>
        <v>1000000</v>
      </c>
      <c r="AD31" s="29">
        <f>AB31*$E$31</f>
        <v>100000</v>
      </c>
      <c r="AE31" s="1">
        <v>11</v>
      </c>
      <c r="AF31" s="28">
        <f>AE31*($C$31+$D$31)</f>
        <v>1100000</v>
      </c>
      <c r="AG31" s="29">
        <f>AE31*$E$31</f>
        <v>110000</v>
      </c>
      <c r="AH31" s="1">
        <v>11</v>
      </c>
      <c r="AI31" s="28">
        <f>AH31*($C$31+$D$31)</f>
        <v>1100000</v>
      </c>
      <c r="AJ31" s="29">
        <f>AH31*$E$31</f>
        <v>110000</v>
      </c>
      <c r="AK31" s="1">
        <v>12</v>
      </c>
      <c r="AL31" s="28">
        <f>AK31*($C$31+$D$31)</f>
        <v>1200000</v>
      </c>
      <c r="AM31" s="29">
        <f>AK31*$E$31</f>
        <v>120000</v>
      </c>
      <c r="AN31">
        <v>15</v>
      </c>
      <c r="AO31" s="28">
        <f>AN31*($C$31+$D$31)</f>
        <v>1500000</v>
      </c>
      <c r="AP31" s="29">
        <f>AN31*$E$31</f>
        <v>150000</v>
      </c>
    </row>
    <row r="32" spans="1:42" x14ac:dyDescent="0.2">
      <c r="A32" s="12" t="s">
        <v>34</v>
      </c>
      <c r="B32" s="13"/>
      <c r="C32" s="13"/>
      <c r="D32" s="13"/>
      <c r="E32" s="13"/>
      <c r="F32" s="13"/>
      <c r="G32" s="13"/>
      <c r="H32" s="14"/>
      <c r="J32" s="27"/>
      <c r="L32" s="29"/>
      <c r="M32" s="1"/>
      <c r="N32" s="28"/>
      <c r="O32" s="29"/>
      <c r="P32" s="1"/>
      <c r="Q32" s="28"/>
      <c r="R32" s="29"/>
      <c r="S32" s="1"/>
      <c r="T32" s="28"/>
      <c r="U32" s="29"/>
      <c r="V32" s="1"/>
      <c r="W32" s="28"/>
      <c r="X32" s="29"/>
      <c r="Y32" s="1"/>
      <c r="Z32" s="28"/>
      <c r="AA32" s="29"/>
      <c r="AB32" s="1"/>
      <c r="AC32" s="28"/>
      <c r="AD32" s="29"/>
      <c r="AE32" s="1"/>
      <c r="AF32" s="28"/>
      <c r="AG32" s="29"/>
      <c r="AH32" s="1"/>
      <c r="AI32" s="28"/>
      <c r="AJ32" s="29"/>
      <c r="AK32" s="1"/>
      <c r="AL32" s="28"/>
      <c r="AM32" s="29"/>
      <c r="AO32" s="28"/>
      <c r="AP32" s="29"/>
    </row>
    <row r="33" spans="1:42" x14ac:dyDescent="0.2">
      <c r="A33" s="3" t="s">
        <v>35</v>
      </c>
      <c r="B33" s="27">
        <v>8000</v>
      </c>
      <c r="D33" s="29"/>
      <c r="E33" s="27"/>
      <c r="F33" s="29">
        <v>1000</v>
      </c>
      <c r="H33" s="2"/>
      <c r="J33" s="27">
        <v>3</v>
      </c>
      <c r="K33" s="28">
        <f>J33*$B$33</f>
        <v>24000</v>
      </c>
      <c r="L33" s="29">
        <f>J33*$F$33</f>
        <v>3000</v>
      </c>
      <c r="M33" s="1">
        <v>5</v>
      </c>
      <c r="N33" s="28">
        <f>M33*$B$33</f>
        <v>40000</v>
      </c>
      <c r="O33" s="29">
        <f>M33*$F$33</f>
        <v>5000</v>
      </c>
      <c r="P33" s="1">
        <v>10</v>
      </c>
      <c r="Q33" s="28">
        <f>P33*$B$33</f>
        <v>80000</v>
      </c>
      <c r="R33" s="29">
        <f>P33*$F$33</f>
        <v>10000</v>
      </c>
      <c r="S33" s="1">
        <v>15</v>
      </c>
      <c r="T33" s="28">
        <f>S33*$B$33</f>
        <v>120000</v>
      </c>
      <c r="U33" s="29">
        <f>S33*$F$33</f>
        <v>15000</v>
      </c>
      <c r="V33" s="1">
        <v>20</v>
      </c>
      <c r="W33" s="28">
        <f>V33*$B$33</f>
        <v>160000</v>
      </c>
      <c r="X33" s="29">
        <f>V33*$F$33</f>
        <v>20000</v>
      </c>
      <c r="Y33" s="1">
        <v>27</v>
      </c>
      <c r="Z33" s="28">
        <f>Y33*$B$33</f>
        <v>216000</v>
      </c>
      <c r="AA33" s="29">
        <f>Y33*$F$33</f>
        <v>27000</v>
      </c>
      <c r="AB33" s="1">
        <v>35</v>
      </c>
      <c r="AC33" s="28">
        <f>AB33*$B$33</f>
        <v>280000</v>
      </c>
      <c r="AD33" s="29">
        <f>AB33*$F$33</f>
        <v>35000</v>
      </c>
      <c r="AE33" s="1">
        <v>40</v>
      </c>
      <c r="AF33" s="28">
        <f>AE33*$B$33</f>
        <v>320000</v>
      </c>
      <c r="AG33" s="29">
        <f>AE33*$F$33</f>
        <v>40000</v>
      </c>
      <c r="AH33" s="1">
        <v>50</v>
      </c>
      <c r="AI33" s="28">
        <f>AH33*$B$33</f>
        <v>400000</v>
      </c>
      <c r="AJ33" s="29">
        <f>AH33*$F$33</f>
        <v>50000</v>
      </c>
      <c r="AK33" s="1">
        <v>62</v>
      </c>
      <c r="AL33" s="28">
        <f>AK33*$B$33</f>
        <v>496000</v>
      </c>
      <c r="AM33" s="29">
        <f>AK33*$F$33</f>
        <v>62000</v>
      </c>
      <c r="AN33">
        <v>70</v>
      </c>
      <c r="AO33" s="28">
        <f>AN33*$B$33</f>
        <v>560000</v>
      </c>
      <c r="AP33" s="29">
        <f>AN33*$F$33</f>
        <v>70000</v>
      </c>
    </row>
    <row r="34" spans="1:42" x14ac:dyDescent="0.2">
      <c r="A34" s="3" t="s">
        <v>36</v>
      </c>
      <c r="B34" s="27">
        <v>20000</v>
      </c>
      <c r="D34" s="29"/>
      <c r="E34" s="27"/>
      <c r="F34" s="29">
        <v>1500</v>
      </c>
      <c r="H34" s="2"/>
      <c r="J34" s="27">
        <v>1</v>
      </c>
      <c r="K34" s="28">
        <f>J34*$B$34</f>
        <v>20000</v>
      </c>
      <c r="L34" s="29">
        <f>J34*$F$34</f>
        <v>1500</v>
      </c>
      <c r="M34" s="1">
        <v>1</v>
      </c>
      <c r="N34" s="28">
        <f>M34*$B$34</f>
        <v>20000</v>
      </c>
      <c r="O34" s="29">
        <f>M34*$F$34</f>
        <v>1500</v>
      </c>
      <c r="P34" s="1">
        <v>2</v>
      </c>
      <c r="Q34" s="28">
        <f>P34*$B$34</f>
        <v>40000</v>
      </c>
      <c r="R34" s="29">
        <f>P34*$F$34</f>
        <v>3000</v>
      </c>
      <c r="S34" s="1">
        <v>3</v>
      </c>
      <c r="T34" s="28">
        <f>S34*$B$34</f>
        <v>60000</v>
      </c>
      <c r="U34" s="29">
        <f>S34*$F$34</f>
        <v>4500</v>
      </c>
      <c r="V34" s="1">
        <v>3</v>
      </c>
      <c r="W34" s="28">
        <f>V34*$B$34</f>
        <v>60000</v>
      </c>
      <c r="X34" s="29">
        <f>V34*$F$34</f>
        <v>4500</v>
      </c>
      <c r="Y34" s="1">
        <v>4</v>
      </c>
      <c r="Z34" s="28">
        <f>Y34*$B$34</f>
        <v>80000</v>
      </c>
      <c r="AA34" s="29">
        <f>Y34*$F$34</f>
        <v>6000</v>
      </c>
      <c r="AB34" s="1">
        <v>5</v>
      </c>
      <c r="AC34" s="28">
        <f>AB34*$B$34</f>
        <v>100000</v>
      </c>
      <c r="AD34" s="29">
        <f>AB34*$F$34</f>
        <v>7500</v>
      </c>
      <c r="AE34" s="1">
        <v>5</v>
      </c>
      <c r="AF34" s="28">
        <f>AE34*$B$34</f>
        <v>100000</v>
      </c>
      <c r="AG34" s="29">
        <f>AE34*$F$34</f>
        <v>7500</v>
      </c>
      <c r="AH34" s="1">
        <v>6</v>
      </c>
      <c r="AI34" s="28">
        <f>AH34*$B$34</f>
        <v>120000</v>
      </c>
      <c r="AJ34" s="29">
        <f>AH34*$F$34</f>
        <v>9000</v>
      </c>
      <c r="AK34" s="1">
        <v>7</v>
      </c>
      <c r="AL34" s="28">
        <f>AK34*$B$34</f>
        <v>140000</v>
      </c>
      <c r="AM34" s="29">
        <f>AK34*$F$34</f>
        <v>10500</v>
      </c>
      <c r="AN34">
        <v>8</v>
      </c>
      <c r="AO34" s="28">
        <f>AN34*$B$34</f>
        <v>160000</v>
      </c>
      <c r="AP34" s="29">
        <f>AN34*$F$34</f>
        <v>12000</v>
      </c>
    </row>
    <row r="35" spans="1:42" x14ac:dyDescent="0.2">
      <c r="A35" s="3" t="s">
        <v>37</v>
      </c>
      <c r="B35" s="27">
        <v>35000</v>
      </c>
      <c r="D35" s="29"/>
      <c r="E35" s="27"/>
      <c r="F35" s="29">
        <v>2000</v>
      </c>
      <c r="H35" s="2"/>
      <c r="J35" s="27">
        <v>0</v>
      </c>
      <c r="K35" s="28">
        <f>J35*$B$35</f>
        <v>0</v>
      </c>
      <c r="L35" s="29">
        <f>J35*$F$35</f>
        <v>0</v>
      </c>
      <c r="M35" s="1">
        <v>1</v>
      </c>
      <c r="N35" s="28">
        <f>M35*$B$35</f>
        <v>35000</v>
      </c>
      <c r="O35" s="29">
        <f>M35*$F$35</f>
        <v>2000</v>
      </c>
      <c r="P35" s="1">
        <v>1</v>
      </c>
      <c r="Q35" s="28">
        <f>P35*$B$35</f>
        <v>35000</v>
      </c>
      <c r="R35" s="29">
        <f>P35*$F$35</f>
        <v>2000</v>
      </c>
      <c r="S35" s="1">
        <v>2</v>
      </c>
      <c r="T35" s="28">
        <f>S35*$B$35</f>
        <v>70000</v>
      </c>
      <c r="U35" s="29">
        <f>S35*$F$35</f>
        <v>4000</v>
      </c>
      <c r="V35" s="1">
        <v>2</v>
      </c>
      <c r="W35" s="28">
        <f>V35*$B$35</f>
        <v>70000</v>
      </c>
      <c r="X35" s="29">
        <f>V35*$F$35</f>
        <v>4000</v>
      </c>
      <c r="Y35" s="1">
        <v>3</v>
      </c>
      <c r="Z35" s="28">
        <f>Y35*$B$35</f>
        <v>105000</v>
      </c>
      <c r="AA35" s="29">
        <f>Y35*$F$35</f>
        <v>6000</v>
      </c>
      <c r="AB35" s="1">
        <v>4</v>
      </c>
      <c r="AC35" s="28">
        <f>AB35*$B$35</f>
        <v>140000</v>
      </c>
      <c r="AD35" s="29">
        <f>AB35*$F$35</f>
        <v>8000</v>
      </c>
      <c r="AE35" s="1">
        <v>4</v>
      </c>
      <c r="AF35" s="28">
        <f>AE35*$B$35</f>
        <v>140000</v>
      </c>
      <c r="AG35" s="29">
        <f>AE35*$F$35</f>
        <v>8000</v>
      </c>
      <c r="AH35" s="1">
        <v>5</v>
      </c>
      <c r="AI35" s="28">
        <f>AH35*$B$35</f>
        <v>175000</v>
      </c>
      <c r="AJ35" s="29">
        <f>AH35*$F$35</f>
        <v>10000</v>
      </c>
      <c r="AK35" s="1">
        <v>6</v>
      </c>
      <c r="AL35" s="28">
        <f>AK35*$B$35</f>
        <v>210000</v>
      </c>
      <c r="AM35" s="29">
        <f>AK35*$F$35</f>
        <v>12000</v>
      </c>
      <c r="AN35">
        <v>7</v>
      </c>
      <c r="AO35" s="28">
        <f>AN35*$B$35</f>
        <v>245000</v>
      </c>
      <c r="AP35" s="29">
        <f>AN35*$F$35</f>
        <v>14000</v>
      </c>
    </row>
    <row r="36" spans="1:42" x14ac:dyDescent="0.2">
      <c r="A36" s="3" t="s">
        <v>38</v>
      </c>
      <c r="B36" s="27">
        <v>15000</v>
      </c>
      <c r="D36" s="29"/>
      <c r="E36" s="27"/>
      <c r="F36" s="29">
        <v>1000</v>
      </c>
      <c r="H36" s="2"/>
      <c r="J36" s="27">
        <v>0</v>
      </c>
      <c r="K36" s="28">
        <f>J36*$B$36</f>
        <v>0</v>
      </c>
      <c r="L36" s="29">
        <f>J36*$F$36</f>
        <v>0</v>
      </c>
      <c r="M36" s="1">
        <v>1</v>
      </c>
      <c r="N36" s="28">
        <f>M36*$B$36</f>
        <v>15000</v>
      </c>
      <c r="O36" s="29">
        <f>M36*$F$36</f>
        <v>1000</v>
      </c>
      <c r="P36" s="1">
        <v>3</v>
      </c>
      <c r="Q36" s="28">
        <f>P36*$B$36</f>
        <v>45000</v>
      </c>
      <c r="R36" s="29">
        <f>P36*$F$36</f>
        <v>3000</v>
      </c>
      <c r="S36" s="1">
        <v>5</v>
      </c>
      <c r="T36" s="28">
        <f>S36*$B$36</f>
        <v>75000</v>
      </c>
      <c r="U36" s="29">
        <f>S36*$F$36</f>
        <v>5000</v>
      </c>
      <c r="V36" s="1">
        <v>6</v>
      </c>
      <c r="W36" s="28">
        <f>V36*$B$36</f>
        <v>90000</v>
      </c>
      <c r="X36" s="29">
        <f>V36*$F$36</f>
        <v>6000</v>
      </c>
      <c r="Y36" s="1">
        <v>7</v>
      </c>
      <c r="Z36" s="28">
        <f>Y36*$B$36</f>
        <v>105000</v>
      </c>
      <c r="AA36" s="29">
        <f>Y36*$F$36</f>
        <v>7000</v>
      </c>
      <c r="AB36" s="1">
        <v>8</v>
      </c>
      <c r="AC36" s="28">
        <f>AB36*$B$36</f>
        <v>120000</v>
      </c>
      <c r="AD36" s="29">
        <f>AB36*$F$36</f>
        <v>8000</v>
      </c>
      <c r="AE36" s="1">
        <v>8</v>
      </c>
      <c r="AF36" s="28">
        <f>AE36*$B$36</f>
        <v>120000</v>
      </c>
      <c r="AG36" s="29">
        <f>AE36*$F$36</f>
        <v>8000</v>
      </c>
      <c r="AH36" s="1">
        <v>9</v>
      </c>
      <c r="AI36" s="28">
        <f>AH36*$B$36</f>
        <v>135000</v>
      </c>
      <c r="AJ36" s="29">
        <f>AH36*$F$36</f>
        <v>9000</v>
      </c>
      <c r="AK36" s="1">
        <v>10</v>
      </c>
      <c r="AL36" s="28">
        <f>AK36*$B$36</f>
        <v>150000</v>
      </c>
      <c r="AM36" s="29">
        <f>AK36*$F$36</f>
        <v>10000</v>
      </c>
      <c r="AN36">
        <v>10</v>
      </c>
      <c r="AO36" s="28">
        <f>AN36*$B$36</f>
        <v>150000</v>
      </c>
      <c r="AP36" s="29">
        <f>AN36*$F$36</f>
        <v>10000</v>
      </c>
    </row>
    <row r="37" spans="1:42" x14ac:dyDescent="0.2">
      <c r="A37" s="12" t="s">
        <v>39</v>
      </c>
      <c r="B37" s="13"/>
      <c r="C37" s="13"/>
      <c r="D37" s="13"/>
      <c r="E37" s="13"/>
      <c r="F37" s="13"/>
      <c r="G37" s="13"/>
      <c r="H37" s="14"/>
      <c r="J37" s="27"/>
      <c r="L37" s="29"/>
      <c r="M37" s="1"/>
      <c r="N37" s="28"/>
      <c r="O37" s="29"/>
      <c r="P37" s="1"/>
      <c r="Q37" s="28"/>
      <c r="R37" s="29"/>
      <c r="S37" s="1"/>
      <c r="T37" s="28"/>
      <c r="U37" s="29"/>
      <c r="V37" s="1"/>
      <c r="W37" s="28"/>
      <c r="X37" s="29"/>
      <c r="Y37" s="1"/>
      <c r="Z37" s="28"/>
      <c r="AA37" s="29"/>
      <c r="AB37" s="1"/>
      <c r="AC37" s="28"/>
      <c r="AD37" s="29"/>
      <c r="AE37" s="1"/>
      <c r="AF37" s="28"/>
      <c r="AG37" s="29"/>
      <c r="AH37" s="1"/>
      <c r="AI37" s="28"/>
      <c r="AJ37" s="29"/>
      <c r="AK37" s="1"/>
      <c r="AL37" s="28"/>
      <c r="AM37" s="29"/>
      <c r="AO37" s="28"/>
      <c r="AP37" s="29"/>
    </row>
    <row r="38" spans="1:42" x14ac:dyDescent="0.2">
      <c r="A38" s="3" t="s">
        <v>40</v>
      </c>
      <c r="B38" s="27">
        <v>5000</v>
      </c>
      <c r="D38" s="29"/>
      <c r="E38" s="27">
        <v>500</v>
      </c>
      <c r="F38" s="29"/>
      <c r="H38" s="2"/>
      <c r="J38" s="27">
        <v>5</v>
      </c>
      <c r="K38" s="28">
        <f>J38*$B$38</f>
        <v>25000</v>
      </c>
      <c r="L38" s="29">
        <f>J38*$E$38</f>
        <v>2500</v>
      </c>
      <c r="M38" s="1">
        <v>15</v>
      </c>
      <c r="N38" s="28">
        <f>M38*$B$38</f>
        <v>75000</v>
      </c>
      <c r="O38" s="29">
        <f>M38*$E$38</f>
        <v>7500</v>
      </c>
      <c r="P38" s="1">
        <v>25</v>
      </c>
      <c r="Q38" s="28">
        <f>P38*$B$38</f>
        <v>125000</v>
      </c>
      <c r="R38" s="29">
        <f>P38*$E$38</f>
        <v>12500</v>
      </c>
      <c r="S38" s="1">
        <v>40</v>
      </c>
      <c r="T38" s="28">
        <f>S38*$B$38</f>
        <v>200000</v>
      </c>
      <c r="U38" s="29">
        <f>S38*$E$38</f>
        <v>20000</v>
      </c>
      <c r="V38" s="1">
        <v>50</v>
      </c>
      <c r="W38" s="28">
        <f>V38*$B$38</f>
        <v>250000</v>
      </c>
      <c r="X38" s="29">
        <f>V38*$E$38</f>
        <v>25000</v>
      </c>
      <c r="Y38" s="1">
        <v>65</v>
      </c>
      <c r="Z38" s="28">
        <f>Y38*$B$38</f>
        <v>325000</v>
      </c>
      <c r="AA38" s="29">
        <f>Y38*$E$38</f>
        <v>32500</v>
      </c>
      <c r="AB38" s="1">
        <v>70</v>
      </c>
      <c r="AC38" s="28">
        <f>AB38*$B$38</f>
        <v>350000</v>
      </c>
      <c r="AD38" s="29">
        <f>AB38*$E$38</f>
        <v>35000</v>
      </c>
      <c r="AE38" s="1">
        <v>85</v>
      </c>
      <c r="AF38" s="28">
        <f>AE38*$B$38</f>
        <v>425000</v>
      </c>
      <c r="AG38" s="29">
        <f>AE38*$E$38</f>
        <v>42500</v>
      </c>
      <c r="AH38" s="1">
        <v>95</v>
      </c>
      <c r="AI38" s="28">
        <f>AH38*$B$38</f>
        <v>475000</v>
      </c>
      <c r="AJ38" s="29">
        <f>AH38*$E$38</f>
        <v>47500</v>
      </c>
      <c r="AK38" s="1">
        <v>110</v>
      </c>
      <c r="AL38" s="28">
        <f>AK38*$B$38</f>
        <v>550000</v>
      </c>
      <c r="AM38" s="29">
        <f>AK38*$E$38</f>
        <v>55000</v>
      </c>
      <c r="AN38">
        <v>125</v>
      </c>
      <c r="AO38" s="28">
        <f>AN38*$B$38</f>
        <v>625000</v>
      </c>
      <c r="AP38" s="29">
        <f>AN38*$E$38</f>
        <v>62500</v>
      </c>
    </row>
    <row r="39" spans="1:42" x14ac:dyDescent="0.2">
      <c r="A39" s="3" t="s">
        <v>41</v>
      </c>
      <c r="B39" s="27">
        <v>15000</v>
      </c>
      <c r="D39" s="29"/>
      <c r="E39" s="27"/>
      <c r="F39" s="29">
        <v>2000</v>
      </c>
      <c r="H39" s="2"/>
      <c r="J39" s="27">
        <v>1</v>
      </c>
      <c r="K39" s="28">
        <f>J39*$B$39</f>
        <v>15000</v>
      </c>
      <c r="L39" s="29">
        <f>J39*$F$39</f>
        <v>2000</v>
      </c>
      <c r="M39" s="1">
        <v>4</v>
      </c>
      <c r="N39" s="28">
        <f>M39*$B$39</f>
        <v>60000</v>
      </c>
      <c r="O39" s="29">
        <f>M39*$F$39</f>
        <v>8000</v>
      </c>
      <c r="P39" s="1">
        <v>7</v>
      </c>
      <c r="Q39" s="28">
        <f>P39*$B$39</f>
        <v>105000</v>
      </c>
      <c r="R39" s="29">
        <f>P39*$F$39</f>
        <v>14000</v>
      </c>
      <c r="S39" s="1">
        <v>10</v>
      </c>
      <c r="T39" s="28">
        <f>S39*$B$39</f>
        <v>150000</v>
      </c>
      <c r="U39" s="29">
        <f>S39*$F$39</f>
        <v>20000</v>
      </c>
      <c r="V39" s="1">
        <v>12</v>
      </c>
      <c r="W39" s="28">
        <f>V39*$B$39</f>
        <v>180000</v>
      </c>
      <c r="X39" s="29">
        <f>V39*$F$39</f>
        <v>24000</v>
      </c>
      <c r="Y39" s="1">
        <v>15</v>
      </c>
      <c r="Z39" s="28">
        <f>Y39*$B$39</f>
        <v>225000</v>
      </c>
      <c r="AA39" s="29">
        <f>Y39*$F$39</f>
        <v>30000</v>
      </c>
      <c r="AB39" s="1">
        <v>17</v>
      </c>
      <c r="AC39" s="28">
        <f>AB39*$B$39</f>
        <v>255000</v>
      </c>
      <c r="AD39" s="29">
        <f>AB39*$F$39</f>
        <v>34000</v>
      </c>
      <c r="AE39" s="1">
        <v>17</v>
      </c>
      <c r="AF39" s="28">
        <f>AE39*$B$39</f>
        <v>255000</v>
      </c>
      <c r="AG39" s="29">
        <f>AE39*$F$39</f>
        <v>34000</v>
      </c>
      <c r="AH39" s="1">
        <v>18</v>
      </c>
      <c r="AI39" s="28">
        <f>AH39*$B$39</f>
        <v>270000</v>
      </c>
      <c r="AJ39" s="29">
        <f>AH39*$F$39</f>
        <v>36000</v>
      </c>
      <c r="AK39" s="1">
        <v>20</v>
      </c>
      <c r="AL39" s="28">
        <f>AK39*$B$39</f>
        <v>300000</v>
      </c>
      <c r="AM39" s="29">
        <f>AK39*$F$39</f>
        <v>40000</v>
      </c>
      <c r="AN39">
        <v>22</v>
      </c>
      <c r="AO39" s="28">
        <f>AN39*$B$39</f>
        <v>330000</v>
      </c>
      <c r="AP39" s="29">
        <f>AN39*$F$39</f>
        <v>44000</v>
      </c>
    </row>
    <row r="40" spans="1:42" x14ac:dyDescent="0.2">
      <c r="A40" s="3" t="s">
        <v>42</v>
      </c>
      <c r="B40" s="27">
        <v>28000</v>
      </c>
      <c r="D40" s="29"/>
      <c r="E40" s="27"/>
      <c r="F40" s="29">
        <v>3000</v>
      </c>
      <c r="H40" s="2"/>
      <c r="J40" s="27">
        <v>0</v>
      </c>
      <c r="K40" s="28">
        <f>J40*$B$40</f>
        <v>0</v>
      </c>
      <c r="L40" s="29">
        <f>J40*$F$40</f>
        <v>0</v>
      </c>
      <c r="M40" s="1">
        <v>1</v>
      </c>
      <c r="N40" s="28">
        <f>M40*$B$40</f>
        <v>28000</v>
      </c>
      <c r="O40" s="29">
        <f>M40*$F$40</f>
        <v>3000</v>
      </c>
      <c r="P40" s="1">
        <v>2</v>
      </c>
      <c r="Q40" s="28">
        <f>P40*$B$40</f>
        <v>56000</v>
      </c>
      <c r="R40" s="29">
        <f>P40*$F$40</f>
        <v>6000</v>
      </c>
      <c r="S40" s="1">
        <v>3</v>
      </c>
      <c r="T40" s="28">
        <f>S40*$B$40</f>
        <v>84000</v>
      </c>
      <c r="U40" s="29">
        <f>S40*$F$40</f>
        <v>9000</v>
      </c>
      <c r="V40" s="1">
        <v>4</v>
      </c>
      <c r="W40" s="28">
        <f>V40*$B$40</f>
        <v>112000</v>
      </c>
      <c r="X40" s="29">
        <f>V40*$F$40</f>
        <v>12000</v>
      </c>
      <c r="Y40" s="1">
        <v>6</v>
      </c>
      <c r="Z40" s="28">
        <f>Y40*$B$40</f>
        <v>168000</v>
      </c>
      <c r="AA40" s="29">
        <f>Y40*$F$40</f>
        <v>18000</v>
      </c>
      <c r="AB40" s="1">
        <v>7</v>
      </c>
      <c r="AC40" s="28">
        <f>AB40*$B$40</f>
        <v>196000</v>
      </c>
      <c r="AD40" s="29">
        <f>AB40*$F$40</f>
        <v>21000</v>
      </c>
      <c r="AE40" s="1">
        <v>7</v>
      </c>
      <c r="AF40" s="28">
        <f>AE40*$B$40</f>
        <v>196000</v>
      </c>
      <c r="AG40" s="29">
        <f>AE40*$F$40</f>
        <v>21000</v>
      </c>
      <c r="AH40" s="1">
        <v>8</v>
      </c>
      <c r="AI40" s="28">
        <f>AH40*$B$40</f>
        <v>224000</v>
      </c>
      <c r="AJ40" s="29">
        <f>AH40*$F$40</f>
        <v>24000</v>
      </c>
      <c r="AK40" s="1">
        <v>10</v>
      </c>
      <c r="AL40" s="28">
        <f>AK40*$B$40</f>
        <v>280000</v>
      </c>
      <c r="AM40" s="29">
        <f>AK40*$F$40</f>
        <v>30000</v>
      </c>
      <c r="AN40">
        <v>12</v>
      </c>
      <c r="AO40" s="28">
        <f>AN40*$B$40</f>
        <v>336000</v>
      </c>
      <c r="AP40" s="29">
        <f>AN40*$F$40</f>
        <v>36000</v>
      </c>
    </row>
    <row r="41" spans="1:42" x14ac:dyDescent="0.2">
      <c r="A41" s="3" t="s">
        <v>43</v>
      </c>
      <c r="B41" s="27">
        <v>40000</v>
      </c>
      <c r="D41" s="29"/>
      <c r="E41" s="27"/>
      <c r="F41" s="29">
        <v>4000</v>
      </c>
      <c r="H41" s="2"/>
      <c r="J41" s="27">
        <v>0</v>
      </c>
      <c r="K41" s="28">
        <f>J41*$B$41</f>
        <v>0</v>
      </c>
      <c r="L41" s="29">
        <f>J41*$F$41</f>
        <v>0</v>
      </c>
      <c r="M41" s="1">
        <v>0</v>
      </c>
      <c r="N41" s="28">
        <f>M41*$B$41</f>
        <v>0</v>
      </c>
      <c r="O41" s="29">
        <f>M41*$F$41</f>
        <v>0</v>
      </c>
      <c r="P41" s="1">
        <v>1</v>
      </c>
      <c r="Q41" s="28">
        <f>P41*$B$41</f>
        <v>40000</v>
      </c>
      <c r="R41" s="29">
        <f>P41*$F$41</f>
        <v>4000</v>
      </c>
      <c r="S41" s="1">
        <v>2</v>
      </c>
      <c r="T41" s="28">
        <f>S41*$B$41</f>
        <v>80000</v>
      </c>
      <c r="U41" s="29">
        <f>S41*$F$41</f>
        <v>8000</v>
      </c>
      <c r="V41" s="1">
        <v>3</v>
      </c>
      <c r="W41" s="28">
        <f>V41*$B$41</f>
        <v>120000</v>
      </c>
      <c r="X41" s="29">
        <f>V41*$F$41</f>
        <v>12000</v>
      </c>
      <c r="Y41" s="1">
        <v>5</v>
      </c>
      <c r="Z41" s="28">
        <f>Y41*$B$41</f>
        <v>200000</v>
      </c>
      <c r="AA41" s="29">
        <f>Y41*$F$41</f>
        <v>20000</v>
      </c>
      <c r="AB41" s="1">
        <v>6</v>
      </c>
      <c r="AC41" s="28">
        <f>AB41*$B$41</f>
        <v>240000</v>
      </c>
      <c r="AD41" s="29">
        <f>AB41*$F$41</f>
        <v>24000</v>
      </c>
      <c r="AE41" s="1">
        <v>6</v>
      </c>
      <c r="AF41" s="28">
        <f>AE41*$B$41</f>
        <v>240000</v>
      </c>
      <c r="AG41" s="29">
        <f>AE41*$F$41</f>
        <v>24000</v>
      </c>
      <c r="AH41" s="1">
        <v>7</v>
      </c>
      <c r="AI41" s="28">
        <f>AH41*$B$41</f>
        <v>280000</v>
      </c>
      <c r="AJ41" s="29">
        <f>AH41*$F$41</f>
        <v>28000</v>
      </c>
      <c r="AK41" s="1">
        <v>8</v>
      </c>
      <c r="AL41" s="28">
        <f>AK41*$B$41</f>
        <v>320000</v>
      </c>
      <c r="AM41" s="29">
        <f>AK41*$F$41</f>
        <v>32000</v>
      </c>
      <c r="AN41">
        <v>10</v>
      </c>
      <c r="AO41" s="28">
        <f>AN41*$B$41</f>
        <v>400000</v>
      </c>
      <c r="AP41" s="29">
        <f>AN41*$F$41</f>
        <v>40000</v>
      </c>
    </row>
    <row r="42" spans="1:42" x14ac:dyDescent="0.2">
      <c r="A42" s="12" t="s">
        <v>44</v>
      </c>
      <c r="B42" s="13"/>
      <c r="C42" s="13"/>
      <c r="D42" s="13"/>
      <c r="E42" s="13"/>
      <c r="F42" s="13"/>
      <c r="G42" s="13"/>
      <c r="H42" s="14"/>
      <c r="J42" s="27"/>
      <c r="L42" s="29"/>
      <c r="M42" s="1"/>
      <c r="N42" s="28"/>
      <c r="O42" s="29"/>
      <c r="P42" s="1"/>
      <c r="Q42" s="28"/>
      <c r="R42" s="29"/>
      <c r="S42" s="1"/>
      <c r="T42" s="28"/>
      <c r="U42" s="29"/>
      <c r="V42" s="1"/>
      <c r="W42" s="28"/>
      <c r="X42" s="29"/>
      <c r="Y42" s="1"/>
      <c r="Z42" s="28"/>
      <c r="AA42" s="29"/>
      <c r="AB42" s="1"/>
      <c r="AC42" s="28"/>
      <c r="AD42" s="29"/>
      <c r="AE42" s="1"/>
      <c r="AF42" s="28"/>
      <c r="AG42" s="29"/>
      <c r="AH42" s="1"/>
      <c r="AI42" s="28"/>
      <c r="AJ42" s="29"/>
      <c r="AK42" s="1"/>
      <c r="AL42" s="28"/>
      <c r="AM42" s="29"/>
      <c r="AO42" s="28"/>
      <c r="AP42" s="29"/>
    </row>
    <row r="43" spans="1:42" x14ac:dyDescent="0.2">
      <c r="A43" s="3" t="s">
        <v>45</v>
      </c>
      <c r="B43" s="27">
        <v>10000</v>
      </c>
      <c r="D43" s="29"/>
      <c r="E43" s="27"/>
      <c r="F43" s="29">
        <v>1000</v>
      </c>
      <c r="H43" s="2"/>
      <c r="J43" s="27">
        <v>2</v>
      </c>
      <c r="K43" s="28">
        <f>J43*$B$43</f>
        <v>20000</v>
      </c>
      <c r="L43" s="29">
        <f>J43*$F$43</f>
        <v>2000</v>
      </c>
      <c r="M43" s="1">
        <v>5</v>
      </c>
      <c r="N43" s="28">
        <f>M43*$B$43</f>
        <v>50000</v>
      </c>
      <c r="O43" s="29">
        <f>M43*$F$43</f>
        <v>5000</v>
      </c>
      <c r="P43" s="1">
        <v>15</v>
      </c>
      <c r="Q43" s="28">
        <f>P43*$B$43</f>
        <v>150000</v>
      </c>
      <c r="R43" s="29">
        <f>P43*$F$43</f>
        <v>15000</v>
      </c>
      <c r="S43" s="1">
        <v>25</v>
      </c>
      <c r="T43" s="28">
        <f>S43*$B$43</f>
        <v>250000</v>
      </c>
      <c r="U43" s="29">
        <f>S43*$F$43</f>
        <v>25000</v>
      </c>
      <c r="V43" s="1">
        <v>40</v>
      </c>
      <c r="W43" s="28">
        <f>V43*$B$43</f>
        <v>400000</v>
      </c>
      <c r="X43" s="29">
        <f>V43*$F$43</f>
        <v>40000</v>
      </c>
      <c r="Y43" s="1">
        <v>50</v>
      </c>
      <c r="Z43" s="28">
        <f>Y43*$B$43</f>
        <v>500000</v>
      </c>
      <c r="AA43" s="29">
        <f>Y43*$F$43</f>
        <v>50000</v>
      </c>
      <c r="AB43" s="1">
        <v>55</v>
      </c>
      <c r="AC43" s="28">
        <f>AB43*$B$43</f>
        <v>550000</v>
      </c>
      <c r="AD43" s="29">
        <f>AB43*$F$43</f>
        <v>55000</v>
      </c>
      <c r="AE43" s="1">
        <v>70</v>
      </c>
      <c r="AF43" s="28">
        <f>AE43*$B$43</f>
        <v>700000</v>
      </c>
      <c r="AG43" s="29">
        <f>AE43*$F$43</f>
        <v>70000</v>
      </c>
      <c r="AH43" s="1">
        <v>75</v>
      </c>
      <c r="AI43" s="28">
        <f>AH43*$B$43</f>
        <v>750000</v>
      </c>
      <c r="AJ43" s="29">
        <f>AH43*$F$43</f>
        <v>75000</v>
      </c>
      <c r="AK43" s="1">
        <v>85</v>
      </c>
      <c r="AL43" s="28">
        <f>AK43*$B$43</f>
        <v>850000</v>
      </c>
      <c r="AM43" s="29">
        <f>AK43*$F$43</f>
        <v>85000</v>
      </c>
      <c r="AN43">
        <v>100</v>
      </c>
      <c r="AO43" s="28">
        <f>AN43*$B$43</f>
        <v>1000000</v>
      </c>
      <c r="AP43" s="29">
        <f>AN43*$F$43</f>
        <v>100000</v>
      </c>
    </row>
    <row r="44" spans="1:42" x14ac:dyDescent="0.2">
      <c r="A44" s="3" t="s">
        <v>46</v>
      </c>
      <c r="B44" s="27">
        <v>18000</v>
      </c>
      <c r="D44" s="29"/>
      <c r="E44" s="27"/>
      <c r="F44" s="29">
        <v>2000</v>
      </c>
      <c r="H44" s="2"/>
      <c r="J44" s="27">
        <v>2</v>
      </c>
      <c r="K44" s="28">
        <f>J44*$B$44</f>
        <v>36000</v>
      </c>
      <c r="L44" s="29">
        <f>J44*$F$44</f>
        <v>4000</v>
      </c>
      <c r="M44" s="1">
        <v>3</v>
      </c>
      <c r="N44" s="28">
        <f>M44*$B$44</f>
        <v>54000</v>
      </c>
      <c r="O44" s="29">
        <f>M44*$F$44</f>
        <v>6000</v>
      </c>
      <c r="P44" s="1">
        <v>5</v>
      </c>
      <c r="Q44" s="28">
        <f>P44*$B$44</f>
        <v>90000</v>
      </c>
      <c r="R44" s="29">
        <f>P44*$F$44</f>
        <v>10000</v>
      </c>
      <c r="S44" s="1">
        <v>6</v>
      </c>
      <c r="T44" s="28">
        <f>S44*$B$44</f>
        <v>108000</v>
      </c>
      <c r="U44" s="29">
        <f>S44*$F$44</f>
        <v>12000</v>
      </c>
      <c r="V44" s="1">
        <v>8</v>
      </c>
      <c r="W44" s="28">
        <f>V44*$B$44</f>
        <v>144000</v>
      </c>
      <c r="X44" s="29">
        <f>V44*$F$44</f>
        <v>16000</v>
      </c>
      <c r="Y44" s="1">
        <v>8</v>
      </c>
      <c r="Z44" s="28">
        <f>Y44*$B$44</f>
        <v>144000</v>
      </c>
      <c r="AA44" s="29">
        <f>Y44*$F$44</f>
        <v>16000</v>
      </c>
      <c r="AB44" s="1">
        <v>9</v>
      </c>
      <c r="AC44" s="28">
        <f>AB44*$B$44</f>
        <v>162000</v>
      </c>
      <c r="AD44" s="29">
        <f>AB44*$F$44</f>
        <v>18000</v>
      </c>
      <c r="AE44" s="1">
        <v>10</v>
      </c>
      <c r="AF44" s="28">
        <f>AE44*$B$44</f>
        <v>180000</v>
      </c>
      <c r="AG44" s="29">
        <f>AE44*$F$44</f>
        <v>20000</v>
      </c>
      <c r="AH44" s="1">
        <v>10</v>
      </c>
      <c r="AI44" s="28">
        <f>AH44*$B$44</f>
        <v>180000</v>
      </c>
      <c r="AJ44" s="29">
        <f>AH44*$F$44</f>
        <v>20000</v>
      </c>
      <c r="AK44" s="1">
        <v>12</v>
      </c>
      <c r="AL44" s="28">
        <f>AK44*$B$44</f>
        <v>216000</v>
      </c>
      <c r="AM44" s="29">
        <f>AK44*$F$44</f>
        <v>24000</v>
      </c>
      <c r="AN44">
        <v>15</v>
      </c>
      <c r="AO44" s="28">
        <f>AN44*$B$44</f>
        <v>270000</v>
      </c>
      <c r="AP44" s="29">
        <f>AN44*$F$44</f>
        <v>30000</v>
      </c>
    </row>
    <row r="45" spans="1:42" x14ac:dyDescent="0.2">
      <c r="A45" s="5" t="s">
        <v>47</v>
      </c>
      <c r="B45" s="30">
        <v>30000</v>
      </c>
      <c r="C45" s="31"/>
      <c r="D45" s="32"/>
      <c r="E45" s="30"/>
      <c r="F45" s="32">
        <v>4000</v>
      </c>
      <c r="G45" s="8"/>
      <c r="H45" s="7"/>
      <c r="J45" s="30">
        <v>0</v>
      </c>
      <c r="K45" s="31">
        <f>J45*$B$45</f>
        <v>0</v>
      </c>
      <c r="L45" s="32">
        <f>J45*$F$45</f>
        <v>0</v>
      </c>
      <c r="M45" s="6">
        <v>1</v>
      </c>
      <c r="N45" s="31">
        <f>M45*$B$45</f>
        <v>30000</v>
      </c>
      <c r="O45" s="32">
        <f>M45*$F$45</f>
        <v>4000</v>
      </c>
      <c r="P45" s="8">
        <v>3</v>
      </c>
      <c r="Q45" s="31">
        <f>P45*$B$45</f>
        <v>90000</v>
      </c>
      <c r="R45" s="32">
        <f>P45*$F$45</f>
        <v>12000</v>
      </c>
      <c r="S45" s="8">
        <v>4</v>
      </c>
      <c r="T45" s="31">
        <f>S45*$B$45</f>
        <v>120000</v>
      </c>
      <c r="U45" s="32">
        <f>S45*$F$45</f>
        <v>16000</v>
      </c>
      <c r="V45" s="8">
        <v>5</v>
      </c>
      <c r="W45" s="31">
        <f>V45*$B$45</f>
        <v>150000</v>
      </c>
      <c r="X45" s="32">
        <f>V45*$F$45</f>
        <v>20000</v>
      </c>
      <c r="Y45" s="8">
        <v>6</v>
      </c>
      <c r="Z45" s="31">
        <f>Y45*$B$45</f>
        <v>180000</v>
      </c>
      <c r="AA45" s="32">
        <f>Y45*$F$45</f>
        <v>24000</v>
      </c>
      <c r="AB45" s="8">
        <v>6</v>
      </c>
      <c r="AC45" s="31">
        <f>AB45*$B$45</f>
        <v>180000</v>
      </c>
      <c r="AD45" s="32">
        <f>AB45*$F$45</f>
        <v>24000</v>
      </c>
      <c r="AE45" s="8">
        <v>8</v>
      </c>
      <c r="AF45" s="31">
        <f>AE45*$B$45</f>
        <v>240000</v>
      </c>
      <c r="AG45" s="32">
        <f>AE45*$F$45</f>
        <v>32000</v>
      </c>
      <c r="AH45" s="8">
        <v>8</v>
      </c>
      <c r="AI45" s="31">
        <f>AH45*$B$45</f>
        <v>240000</v>
      </c>
      <c r="AJ45" s="32">
        <f>AH45*$F$45</f>
        <v>32000</v>
      </c>
      <c r="AK45" s="8">
        <v>9</v>
      </c>
      <c r="AL45" s="31">
        <f>AK45*$B$45</f>
        <v>270000</v>
      </c>
      <c r="AM45" s="32">
        <f>AK45*$F$45</f>
        <v>36000</v>
      </c>
      <c r="AN45" s="6">
        <v>10</v>
      </c>
      <c r="AO45" s="31">
        <f>AN45*$B$45</f>
        <v>300000</v>
      </c>
      <c r="AP45" s="32">
        <f>AN45*$F$45</f>
        <v>40000</v>
      </c>
    </row>
    <row r="46" spans="1:42" x14ac:dyDescent="0.2">
      <c r="J46" s="27"/>
      <c r="K46" s="41"/>
      <c r="L46" s="29"/>
      <c r="N46" s="28"/>
      <c r="O46" s="28"/>
      <c r="Q46" s="28"/>
      <c r="R46" s="28"/>
      <c r="T46" s="28"/>
      <c r="U46" s="28"/>
      <c r="W46" s="28"/>
      <c r="X46" s="28"/>
      <c r="Z46" s="28"/>
      <c r="AA46" s="28"/>
      <c r="AC46" s="28"/>
      <c r="AD46" s="28"/>
      <c r="AF46" s="28"/>
      <c r="AG46" s="28"/>
      <c r="AI46" s="28"/>
      <c r="AJ46" s="28"/>
      <c r="AL46" s="28"/>
      <c r="AM46" s="28"/>
      <c r="AO46" s="28"/>
      <c r="AP46" s="28"/>
    </row>
    <row r="47" spans="1:42" x14ac:dyDescent="0.2">
      <c r="G47" s="43"/>
      <c r="H47" s="44" t="s">
        <v>69</v>
      </c>
      <c r="I47" s="44"/>
      <c r="J47" s="52">
        <f>SUM(J4:J46)</f>
        <v>79</v>
      </c>
      <c r="K47" s="45">
        <f>SUM(K4:K46)</f>
        <v>1747166.6666666667</v>
      </c>
      <c r="L47" s="46">
        <f>SUM(L4:L46)</f>
        <v>126083.33333333333</v>
      </c>
      <c r="M47" s="44">
        <f>SUM(M4:M46)</f>
        <v>153</v>
      </c>
      <c r="N47" s="45">
        <f>SUM(N4:N46)</f>
        <v>4085333.3333333335</v>
      </c>
      <c r="O47" s="46">
        <f>SUM(O4:O46)</f>
        <v>293416.66666666663</v>
      </c>
      <c r="P47" s="44">
        <f>SUM(P4:P46)</f>
        <v>308</v>
      </c>
      <c r="Q47" s="45">
        <f>SUM(Q4:Q46)</f>
        <v>7719000</v>
      </c>
      <c r="R47" s="46">
        <f>SUM(R4:R46)</f>
        <v>587166.66666666663</v>
      </c>
      <c r="S47" s="44">
        <f>SUM(S4:S46)</f>
        <v>515</v>
      </c>
      <c r="T47" s="45">
        <f>SUM(T4:T46)</f>
        <v>11578166.666666668</v>
      </c>
      <c r="U47" s="46">
        <f>SUM(U4:U46)</f>
        <v>877500</v>
      </c>
      <c r="V47" s="44">
        <f>SUM(V4:V46)</f>
        <v>770</v>
      </c>
      <c r="W47" s="45">
        <f>SUM(W4:W46)</f>
        <v>15274500</v>
      </c>
      <c r="X47" s="46">
        <f>SUM(X4:X46)</f>
        <v>1188750</v>
      </c>
      <c r="Y47" s="44">
        <f>SUM(Y4:Y46)</f>
        <v>1080</v>
      </c>
      <c r="Z47" s="45">
        <f>SUM(Z4:Z46)</f>
        <v>19327333.333333336</v>
      </c>
      <c r="AA47" s="46">
        <f>SUM(AA4:AA46)</f>
        <v>1549750</v>
      </c>
      <c r="AB47" s="44">
        <f>SUM(AB4:AB46)</f>
        <v>1433</v>
      </c>
      <c r="AC47" s="45">
        <f>SUM(AC4:AC46)</f>
        <v>23527500</v>
      </c>
      <c r="AD47" s="46">
        <f>SUM(AD4:AD46)</f>
        <v>1968250</v>
      </c>
      <c r="AE47" s="44">
        <f>SUM(AE4:AE46)</f>
        <v>1841</v>
      </c>
      <c r="AF47" s="45">
        <f>SUM(AF4:AF46)</f>
        <v>27704166.666666668</v>
      </c>
      <c r="AG47" s="46">
        <f>SUM(AG4:AG46)</f>
        <v>2388750</v>
      </c>
      <c r="AH47" s="44">
        <f>SUM(AH4:AH46)</f>
        <v>2287</v>
      </c>
      <c r="AI47" s="45">
        <f>SUM(AI4:AI46)</f>
        <v>32084333.333333336</v>
      </c>
      <c r="AJ47" s="46">
        <f>SUM(AJ4:AJ46)</f>
        <v>2837000</v>
      </c>
      <c r="AK47" s="44">
        <f>SUM(AK4:AK46)</f>
        <v>2814</v>
      </c>
      <c r="AL47" s="45">
        <f>SUM(AL4:AL46)</f>
        <v>37204666.666666672</v>
      </c>
      <c r="AM47" s="46">
        <f>SUM(AM4:AM46)</f>
        <v>3379000</v>
      </c>
      <c r="AN47" s="44">
        <f>SUM(AN4:AN46)</f>
        <v>3403</v>
      </c>
      <c r="AO47" s="45">
        <f>SUM(AO4:AO46)</f>
        <v>43035333.333333336</v>
      </c>
      <c r="AP47" s="46">
        <f>SUM(AP4:AP46)</f>
        <v>3999500</v>
      </c>
    </row>
    <row r="48" spans="1:42" x14ac:dyDescent="0.2">
      <c r="G48" s="47"/>
      <c r="H48" s="42"/>
      <c r="I48" s="42"/>
      <c r="J48" s="53"/>
      <c r="K48" s="48"/>
      <c r="L48" s="51"/>
      <c r="M48" s="42"/>
      <c r="N48" s="42"/>
      <c r="O48" s="49"/>
      <c r="P48" s="42"/>
      <c r="Q48" s="42"/>
      <c r="R48" s="49"/>
      <c r="S48" s="42"/>
      <c r="T48" s="42"/>
      <c r="U48" s="49"/>
      <c r="V48" s="42"/>
      <c r="W48" s="42"/>
      <c r="X48" s="49"/>
      <c r="Y48" s="42"/>
      <c r="Z48" s="42"/>
      <c r="AA48" s="49"/>
      <c r="AB48" s="42"/>
      <c r="AC48" s="42"/>
      <c r="AD48" s="49"/>
      <c r="AE48" s="42"/>
      <c r="AF48" s="42"/>
      <c r="AG48" s="49"/>
      <c r="AH48" s="42"/>
      <c r="AI48" s="42"/>
      <c r="AJ48" s="49"/>
      <c r="AK48" s="42"/>
      <c r="AL48" s="42"/>
      <c r="AM48" s="49"/>
      <c r="AN48" s="42"/>
      <c r="AO48" s="42"/>
      <c r="AP48" s="49"/>
    </row>
    <row r="49" spans="7:42" x14ac:dyDescent="0.2">
      <c r="G49" s="50">
        <v>0.25</v>
      </c>
      <c r="H49" s="42" t="s">
        <v>67</v>
      </c>
      <c r="I49" s="42"/>
      <c r="J49" s="53"/>
      <c r="K49" s="48">
        <f>K47*$G$49</f>
        <v>436791.66666666669</v>
      </c>
      <c r="L49" s="51">
        <f>L47*$G$50</f>
        <v>25216.666666666668</v>
      </c>
      <c r="M49" s="42"/>
      <c r="N49" s="48">
        <f>N47*$G$49</f>
        <v>1021333.3333333334</v>
      </c>
      <c r="O49" s="51">
        <f>O47*$G$50</f>
        <v>58683.333333333328</v>
      </c>
      <c r="P49" s="42"/>
      <c r="Q49" s="48">
        <f>Q47*$G$49</f>
        <v>1929750</v>
      </c>
      <c r="R49" s="51">
        <f>R47*$G$50</f>
        <v>117433.33333333333</v>
      </c>
      <c r="S49" s="42"/>
      <c r="T49" s="48">
        <f>T47*$G$49</f>
        <v>2894541.666666667</v>
      </c>
      <c r="U49" s="51">
        <f>U47*$G$50</f>
        <v>175500</v>
      </c>
      <c r="V49" s="42"/>
      <c r="W49" s="48">
        <f>W47*$G$49</f>
        <v>3818625</v>
      </c>
      <c r="X49" s="51">
        <f>X47*$G$50</f>
        <v>237750</v>
      </c>
      <c r="Y49" s="42"/>
      <c r="Z49" s="48">
        <f>Z47*$G$49</f>
        <v>4831833.333333334</v>
      </c>
      <c r="AA49" s="51">
        <f>AA47*$G$50</f>
        <v>309950</v>
      </c>
      <c r="AB49" s="42"/>
      <c r="AC49" s="48">
        <f>AC47*$G$49</f>
        <v>5881875</v>
      </c>
      <c r="AD49" s="51">
        <f>AD47*$G$50</f>
        <v>393650</v>
      </c>
      <c r="AE49" s="42"/>
      <c r="AF49" s="48">
        <f>AF47*$G$49</f>
        <v>6926041.666666667</v>
      </c>
      <c r="AG49" s="51">
        <f>AG47*$G$50</f>
        <v>477750</v>
      </c>
      <c r="AH49" s="42"/>
      <c r="AI49" s="48">
        <f>AI47*$G$49</f>
        <v>8021083.333333334</v>
      </c>
      <c r="AJ49" s="51">
        <f>AJ47*$G$50</f>
        <v>567400</v>
      </c>
      <c r="AK49" s="42"/>
      <c r="AL49" s="48">
        <f>AL47*$G$49</f>
        <v>9301166.6666666679</v>
      </c>
      <c r="AM49" s="51">
        <f>AM47*$G$50</f>
        <v>675800</v>
      </c>
      <c r="AN49" s="42"/>
      <c r="AO49" s="48">
        <f>AO47*$G$49</f>
        <v>10758833.333333334</v>
      </c>
      <c r="AP49" s="51">
        <f>AP47*$G$50</f>
        <v>799900</v>
      </c>
    </row>
    <row r="50" spans="7:42" x14ac:dyDescent="0.2">
      <c r="G50" s="50">
        <v>0.2</v>
      </c>
      <c r="H50" s="42" t="s">
        <v>70</v>
      </c>
      <c r="I50" s="42"/>
      <c r="J50" s="53"/>
      <c r="K50" s="48"/>
      <c r="L50" s="51"/>
      <c r="M50" s="42"/>
      <c r="N50" s="42"/>
      <c r="O50" s="49"/>
      <c r="P50" s="42"/>
      <c r="Q50" s="42"/>
      <c r="R50" s="49"/>
      <c r="S50" s="42"/>
      <c r="T50" s="42"/>
      <c r="U50" s="49"/>
      <c r="V50" s="42"/>
      <c r="W50" s="42"/>
      <c r="X50" s="49"/>
      <c r="Y50" s="42"/>
      <c r="Z50" s="42"/>
      <c r="AA50" s="49"/>
      <c r="AB50" s="42"/>
      <c r="AC50" s="42"/>
      <c r="AD50" s="49"/>
      <c r="AE50" s="42"/>
      <c r="AF50" s="42"/>
      <c r="AG50" s="49"/>
      <c r="AH50" s="42"/>
      <c r="AI50" s="42"/>
      <c r="AJ50" s="49"/>
      <c r="AK50" s="42"/>
      <c r="AL50" s="42"/>
      <c r="AM50" s="49"/>
      <c r="AN50" s="42"/>
      <c r="AO50" s="42"/>
      <c r="AP50" s="49"/>
    </row>
    <row r="51" spans="7:42" x14ac:dyDescent="0.2">
      <c r="G51" s="47"/>
      <c r="H51" s="42"/>
      <c r="I51" s="42"/>
      <c r="J51" s="53"/>
      <c r="K51" s="48"/>
      <c r="L51" s="51"/>
      <c r="M51" s="42"/>
      <c r="N51" s="42"/>
      <c r="O51" s="49"/>
      <c r="P51" s="42"/>
      <c r="Q51" s="42"/>
      <c r="R51" s="49"/>
      <c r="S51" s="42"/>
      <c r="T51" s="42"/>
      <c r="U51" s="49"/>
      <c r="V51" s="42"/>
      <c r="W51" s="42"/>
      <c r="X51" s="49"/>
      <c r="Y51" s="42"/>
      <c r="Z51" s="42"/>
      <c r="AA51" s="49"/>
      <c r="AB51" s="42"/>
      <c r="AC51" s="42"/>
      <c r="AD51" s="49"/>
      <c r="AE51" s="42"/>
      <c r="AF51" s="42"/>
      <c r="AG51" s="49"/>
      <c r="AH51" s="42"/>
      <c r="AI51" s="42"/>
      <c r="AJ51" s="49"/>
      <c r="AK51" s="42"/>
      <c r="AL51" s="42"/>
      <c r="AM51" s="49"/>
      <c r="AN51" s="42"/>
      <c r="AO51" s="42"/>
      <c r="AP51" s="49"/>
    </row>
    <row r="52" spans="7:42" x14ac:dyDescent="0.2">
      <c r="G52" s="9"/>
      <c r="H52" s="10" t="s">
        <v>68</v>
      </c>
      <c r="I52" s="10"/>
      <c r="J52" s="24"/>
      <c r="K52" s="25"/>
      <c r="L52" s="26">
        <f>K49+L49</f>
        <v>462008.33333333337</v>
      </c>
      <c r="M52" s="10"/>
      <c r="N52" s="10"/>
      <c r="O52" s="26">
        <f>N49+O49</f>
        <v>1080016.6666666667</v>
      </c>
      <c r="P52" s="10"/>
      <c r="Q52" s="10"/>
      <c r="R52" s="26">
        <f>Q49+R49</f>
        <v>2047183.3333333333</v>
      </c>
      <c r="S52" s="10"/>
      <c r="T52" s="10"/>
      <c r="U52" s="26">
        <f>T49+U49</f>
        <v>3070041.666666667</v>
      </c>
      <c r="V52" s="10"/>
      <c r="W52" s="10"/>
      <c r="X52" s="26">
        <f>W49+X49</f>
        <v>4056375</v>
      </c>
      <c r="Y52" s="10"/>
      <c r="Z52" s="10"/>
      <c r="AA52" s="26">
        <f>Z49+AA49</f>
        <v>5141783.333333334</v>
      </c>
      <c r="AB52" s="10"/>
      <c r="AC52" s="10"/>
      <c r="AD52" s="26">
        <f>AC49+AD49</f>
        <v>6275525</v>
      </c>
      <c r="AE52" s="10"/>
      <c r="AF52" s="10"/>
      <c r="AG52" s="26">
        <f>AF49+AG49</f>
        <v>7403791.666666667</v>
      </c>
      <c r="AH52" s="10"/>
      <c r="AI52" s="10"/>
      <c r="AJ52" s="26">
        <f>AI49+AJ49</f>
        <v>8588483.333333334</v>
      </c>
      <c r="AK52" s="10"/>
      <c r="AL52" s="10"/>
      <c r="AM52" s="26">
        <f>AL49+AM49</f>
        <v>9976966.6666666679</v>
      </c>
      <c r="AN52" s="10"/>
      <c r="AO52" s="10"/>
      <c r="AP52" s="26">
        <f>AO49+AP49</f>
        <v>11558733.333333334</v>
      </c>
    </row>
  </sheetData>
  <mergeCells count="25">
    <mergeCell ref="A28:H28"/>
    <mergeCell ref="A32:H32"/>
    <mergeCell ref="A37:H37"/>
    <mergeCell ref="A42:H42"/>
    <mergeCell ref="H1:H2"/>
    <mergeCell ref="A3:H3"/>
    <mergeCell ref="A8:H8"/>
    <mergeCell ref="A12:H12"/>
    <mergeCell ref="A15:H15"/>
    <mergeCell ref="A19:H19"/>
    <mergeCell ref="E1:F1"/>
    <mergeCell ref="B1:D1"/>
    <mergeCell ref="A1:A2"/>
    <mergeCell ref="G1:G2"/>
    <mergeCell ref="AH1:AJ1"/>
    <mergeCell ref="AK1:AM1"/>
    <mergeCell ref="AN1:AP1"/>
    <mergeCell ref="J1:L1"/>
    <mergeCell ref="M1:O1"/>
    <mergeCell ref="P1:R1"/>
    <mergeCell ref="S1:U1"/>
    <mergeCell ref="V1:X1"/>
    <mergeCell ref="Y1:AA1"/>
    <mergeCell ref="AB1:AD1"/>
    <mergeCell ref="AE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PM</dc:creator>
  <cp:lastModifiedBy>Campus PM</cp:lastModifiedBy>
  <dcterms:created xsi:type="dcterms:W3CDTF">2026-03-28T15:33:30Z</dcterms:created>
  <dcterms:modified xsi:type="dcterms:W3CDTF">2026-03-29T20:33:35Z</dcterms:modified>
</cp:coreProperties>
</file>